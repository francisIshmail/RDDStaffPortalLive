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BA96233-5355-41A1-8D0C-22B323E362BF}" xr6:coauthVersionLast="45" xr6:coauthVersionMax="45" xr10:uidLastSave="{00000000-0000-0000-0000-000000000000}"/>
  <bookViews>
    <workbookView xWindow="-108" yWindow="-108" windowWidth="23256" windowHeight="12576" xr2:uid="{EE8C151B-4609-4342-A9BE-CCC5170E787D}"/>
  </bookViews>
  <sheets>
    <sheet name="Sheet1" sheetId="1" r:id="rId1"/>
  </sheets>
  <definedNames>
    <definedName name="_xlnm._FilterDatabase" localSheetId="0" hidden="1">Sheet1!$A$1:$O$1163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3" i="1" l="1"/>
  <c r="G40" i="1"/>
  <c r="G44" i="1"/>
  <c r="G61" i="1"/>
  <c r="G81" i="1"/>
  <c r="G97" i="1"/>
  <c r="G108" i="1"/>
  <c r="G123" i="1"/>
  <c r="G129" i="1"/>
  <c r="G138" i="1"/>
  <c r="G161" i="1"/>
  <c r="G174" i="1"/>
  <c r="G197" i="1"/>
  <c r="G203" i="1"/>
  <c r="G242" i="1"/>
  <c r="G273" i="1"/>
  <c r="G274" i="1"/>
  <c r="G283" i="1"/>
  <c r="G304" i="1"/>
  <c r="G315" i="1"/>
  <c r="G327" i="1"/>
  <c r="G337" i="1"/>
  <c r="G382" i="1"/>
  <c r="G450" i="1"/>
  <c r="G459" i="1"/>
  <c r="G478" i="1"/>
  <c r="G497" i="1"/>
  <c r="G500" i="1"/>
  <c r="G587" i="1"/>
  <c r="G597" i="1"/>
  <c r="G605" i="1"/>
  <c r="G607" i="1"/>
  <c r="G609" i="1"/>
  <c r="G616" i="1"/>
  <c r="G642" i="1"/>
  <c r="G725" i="1"/>
  <c r="G729" i="1"/>
  <c r="G732" i="1"/>
  <c r="G746" i="1"/>
  <c r="G777" i="1"/>
  <c r="G821" i="1"/>
  <c r="G855" i="1"/>
  <c r="G877" i="1"/>
  <c r="G911" i="1"/>
  <c r="G932" i="1"/>
  <c r="G937" i="1"/>
  <c r="G950" i="1"/>
  <c r="G1012" i="1"/>
  <c r="G1026" i="1"/>
  <c r="G1033" i="1"/>
  <c r="G1049" i="1"/>
  <c r="G1062" i="1"/>
  <c r="G1088" i="1"/>
  <c r="G1093" i="1"/>
  <c r="G1103" i="1"/>
  <c r="G1115" i="1"/>
  <c r="G1131" i="1"/>
  <c r="G1135" i="1"/>
  <c r="G1146" i="1"/>
  <c r="G1149" i="1"/>
  <c r="G1151" i="1"/>
</calcChain>
</file>

<file path=xl/sharedStrings.xml><?xml version="1.0" encoding="utf-8"?>
<sst xmlns="http://schemas.openxmlformats.org/spreadsheetml/2006/main" count="8087" uniqueCount="4601">
  <si>
    <t>SAPDBName</t>
  </si>
  <si>
    <t>SAPCardCode</t>
  </si>
  <si>
    <t>CustomerName</t>
  </si>
  <si>
    <t>CountryCode</t>
  </si>
  <si>
    <t>Country</t>
  </si>
  <si>
    <t>Email</t>
  </si>
  <si>
    <t>ContactNo</t>
  </si>
  <si>
    <t>Accrued</t>
  </si>
  <si>
    <t>confirmed</t>
  </si>
  <si>
    <t>Lost</t>
  </si>
  <si>
    <t>Expired</t>
  </si>
  <si>
    <t>Redeemed</t>
  </si>
  <si>
    <t>Redeemable</t>
  </si>
  <si>
    <t>Expiring</t>
  </si>
  <si>
    <t>OpenRedeemRequestPoints</t>
  </si>
  <si>
    <t>SAPAE</t>
  </si>
  <si>
    <t>CloudHop</t>
  </si>
  <si>
    <t>CloudHop K Limited</t>
  </si>
  <si>
    <t>KE</t>
  </si>
  <si>
    <t>KENYA</t>
  </si>
  <si>
    <t>Partners@cloudhop.it</t>
  </si>
  <si>
    <t>0205154911 / 0720256834</t>
  </si>
  <si>
    <t>Microsemi</t>
  </si>
  <si>
    <t>Microsemi LTD</t>
  </si>
  <si>
    <t>lilian@microsemi.co.ke</t>
  </si>
  <si>
    <t>0722236086 / 0733236088</t>
  </si>
  <si>
    <t>SAPKE</t>
  </si>
  <si>
    <t>AAI205</t>
  </si>
  <si>
    <t>ADVANTAGE AFRICA INVESTMENT LIMITED</t>
  </si>
  <si>
    <t>mule.george@gmail.com</t>
  </si>
  <si>
    <t xml:space="preserve">0722492026 / </t>
  </si>
  <si>
    <t>AAS205</t>
  </si>
  <si>
    <t>AABIS SOLUTIONS</t>
  </si>
  <si>
    <t>eliasmu@aabiiss.com</t>
  </si>
  <si>
    <t>0729607777 / 0731187707</t>
  </si>
  <si>
    <t>ABT200</t>
  </si>
  <si>
    <t>Agile Business Technologies Ltd</t>
  </si>
  <si>
    <t>s.mbugua@agiletechnologies.co.ke</t>
  </si>
  <si>
    <t>0202020609 / 0202020609</t>
  </si>
  <si>
    <t>ACL205</t>
  </si>
  <si>
    <t>AFATRADING COMPANY LIMITED</t>
  </si>
  <si>
    <t>adil@afatrading.co.ke</t>
  </si>
  <si>
    <t>0737517546 / 0722517546</t>
  </si>
  <si>
    <t>ACS201</t>
  </si>
  <si>
    <t>Aarafa Communication Solutions ltd</t>
  </si>
  <si>
    <t>info@aarafasolutions.com</t>
  </si>
  <si>
    <t xml:space="preserve">0717908885 / </t>
  </si>
  <si>
    <t>ACT200</t>
  </si>
  <si>
    <t>Ace Technologies</t>
  </si>
  <si>
    <t>info@acetechkenya.co.ke</t>
  </si>
  <si>
    <t>0723432082 / 0721333557</t>
  </si>
  <si>
    <t>ADL201</t>
  </si>
  <si>
    <t>Adcare Ltd</t>
  </si>
  <si>
    <t>procurement@adcare.co.ke</t>
  </si>
  <si>
    <t>0714639360 / 0780836003</t>
  </si>
  <si>
    <t>ADL202</t>
  </si>
  <si>
    <t>Audiogear ltd</t>
  </si>
  <si>
    <t>peter@audiogear.co.ke</t>
  </si>
  <si>
    <t xml:space="preserve">+254722703035 / </t>
  </si>
  <si>
    <t>ADT200</t>
  </si>
  <si>
    <t>ADTECH SOLUTIONS LTD</t>
  </si>
  <si>
    <t>info@adtechsolutions.co.ke</t>
  </si>
  <si>
    <t>0723700488 / 0722417351</t>
  </si>
  <si>
    <t>ADW200</t>
  </si>
  <si>
    <t>Adwest Communications Ltd</t>
  </si>
  <si>
    <t>bosita@adwest.net</t>
  </si>
  <si>
    <t>AEL200</t>
  </si>
  <si>
    <t>AVENUE SOLUTIONS (K) LTD</t>
  </si>
  <si>
    <t>accounts@avenue.co.ke</t>
  </si>
  <si>
    <t>0725123333 / 0725123333</t>
  </si>
  <si>
    <t>AEL205</t>
  </si>
  <si>
    <t>ALLONI ENTERPRISES LTD</t>
  </si>
  <si>
    <t>allonienterprises@gmail.com</t>
  </si>
  <si>
    <t>0721270039 / 0708153906</t>
  </si>
  <si>
    <t>AFK200</t>
  </si>
  <si>
    <t>Afrika Industries</t>
  </si>
  <si>
    <t>afrikaindustriesltd@gmail.com</t>
  </si>
  <si>
    <t xml:space="preserve">0724670019 / </t>
  </si>
  <si>
    <t>AGI200</t>
  </si>
  <si>
    <t>AGILE CLOUD LIMITED</t>
  </si>
  <si>
    <t>kyuli@agilecloud.co.ke</t>
  </si>
  <si>
    <t>0722642791 / 0204408989</t>
  </si>
  <si>
    <t>AKG200</t>
  </si>
  <si>
    <t>ACCESS KENYA GROUP</t>
  </si>
  <si>
    <t>procurement@is.co.ke</t>
  </si>
  <si>
    <t>0203600134 / 0732136133</t>
  </si>
  <si>
    <t>AKS200</t>
  </si>
  <si>
    <t>Akshar Team Security Ltd</t>
  </si>
  <si>
    <t>kavit@ateam.co.ke</t>
  </si>
  <si>
    <t>0722723540 / 0732723540</t>
  </si>
  <si>
    <t>ALM211</t>
  </si>
  <si>
    <t>ALMIRIA LTD</t>
  </si>
  <si>
    <t>sales@almiria.co.ke</t>
  </si>
  <si>
    <t>0700449778 / 0733491423</t>
  </si>
  <si>
    <t>ALW200</t>
  </si>
  <si>
    <t>ALWI</t>
  </si>
  <si>
    <t>kago.mark@gmail.com</t>
  </si>
  <si>
    <t>0734451943 / 0725617001</t>
  </si>
  <si>
    <t>AMB200</t>
  </si>
  <si>
    <t>Ambica Trading Limited</t>
  </si>
  <si>
    <t>j.soni@ambica.co.ke</t>
  </si>
  <si>
    <t>0703846600 / 0725320555</t>
  </si>
  <si>
    <t>AMK200</t>
  </si>
  <si>
    <t>AMAK TECH SOLUTIONS LTD</t>
  </si>
  <si>
    <t>amaktechsolutions@gmail.com</t>
  </si>
  <si>
    <t>0710278510 / 0710919936</t>
  </si>
  <si>
    <t>AMS200</t>
  </si>
  <si>
    <t>Ace Micro Services ltd</t>
  </si>
  <si>
    <t>nadia@acemicroservices.com</t>
  </si>
  <si>
    <t>0713797915 / 0733601627</t>
  </si>
  <si>
    <t>ANL200</t>
  </si>
  <si>
    <t>Ascend Networks Ltd</t>
  </si>
  <si>
    <t>kiambi@ascend.co.ke</t>
  </si>
  <si>
    <t xml:space="preserve">+254723058253 / </t>
  </si>
  <si>
    <t>ANV200</t>
  </si>
  <si>
    <t>Anova Communications Limited</t>
  </si>
  <si>
    <t>gkefa@anova.co.ke</t>
  </si>
  <si>
    <t>0736555622 / 0727555622</t>
  </si>
  <si>
    <t>AOS200</t>
  </si>
  <si>
    <t>Advatech Office Supplies</t>
  </si>
  <si>
    <t>susan@advatech.co.ke</t>
  </si>
  <si>
    <t>0712128742 / 4447990</t>
  </si>
  <si>
    <t>APA200</t>
  </si>
  <si>
    <t>Ace Paper and Print LImited</t>
  </si>
  <si>
    <t>ogananaftali@gmail.com</t>
  </si>
  <si>
    <t xml:space="preserve">0720295152 / </t>
  </si>
  <si>
    <t>APT200</t>
  </si>
  <si>
    <t>Appropriate Computer Tech</t>
  </si>
  <si>
    <t>actsoftware254@gmail.com</t>
  </si>
  <si>
    <t xml:space="preserve">0733738929 / </t>
  </si>
  <si>
    <t>AQD200</t>
  </si>
  <si>
    <t>ANQAD SYSTEMS</t>
  </si>
  <si>
    <t>agufa@anqad.com</t>
  </si>
  <si>
    <t>0722501394 / 0716141826</t>
  </si>
  <si>
    <t>ARM200</t>
  </si>
  <si>
    <t>Armtech Solutions Ltd</t>
  </si>
  <si>
    <t>jagdish@armtech.co.ke</t>
  </si>
  <si>
    <t>0731942520 / 0777942520</t>
  </si>
  <si>
    <t>ASG200</t>
  </si>
  <si>
    <t>Ashugadda Tech Solutions Ltd</t>
  </si>
  <si>
    <t>ashugadda@gmail.com</t>
  </si>
  <si>
    <t>0723650421 / 0736011651</t>
  </si>
  <si>
    <t>ASL202</t>
  </si>
  <si>
    <t>Arete Solutions Limited</t>
  </si>
  <si>
    <t>info@arete.co.ke</t>
  </si>
  <si>
    <t>0202365365 / 0702365365</t>
  </si>
  <si>
    <t>ASL206</t>
  </si>
  <si>
    <t>Aboro Office Solutions Ltd</t>
  </si>
  <si>
    <t>mrajula@solution4u.com</t>
  </si>
  <si>
    <t xml:space="preserve">0721525919 / </t>
  </si>
  <si>
    <t>ASP202</t>
  </si>
  <si>
    <t>ASEPS TECHNOLOGIES LIMITED</t>
  </si>
  <si>
    <t>d.mwangi@asepstech.co.ke</t>
  </si>
  <si>
    <t>0723249880 / 0723249880</t>
  </si>
  <si>
    <t>AST200</t>
  </si>
  <si>
    <t>Astron Computers</t>
  </si>
  <si>
    <t>kk@astroncomputers.com</t>
  </si>
  <si>
    <t>0722809507 / 0733991634</t>
  </si>
  <si>
    <t>AST201</t>
  </si>
  <si>
    <t>Aster Limited</t>
  </si>
  <si>
    <t>info@asterltd.com</t>
  </si>
  <si>
    <t xml:space="preserve">0202715441 / </t>
  </si>
  <si>
    <t>ATC200</t>
  </si>
  <si>
    <t>Amafhh Trading Company ltd</t>
  </si>
  <si>
    <t>HUSSEIN@AMAFHH.NET</t>
  </si>
  <si>
    <t xml:space="preserve">0722799777 / </t>
  </si>
  <si>
    <t>ATE200</t>
  </si>
  <si>
    <t>A - Tech Limited</t>
  </si>
  <si>
    <t>nihar@cartridgemaniakenya.com</t>
  </si>
  <si>
    <t>0722786354 / 0773539110</t>
  </si>
  <si>
    <t>ATL201</t>
  </si>
  <si>
    <t>Ariel Technology Ltd</t>
  </si>
  <si>
    <t>info@arieltech.co.ke</t>
  </si>
  <si>
    <t>ATO200</t>
  </si>
  <si>
    <t>ATOMEX ENGINEERING LIMITED</t>
  </si>
  <si>
    <t>alex.tolmachev@atomex.co.ke</t>
  </si>
  <si>
    <t xml:space="preserve">254718928931 / </t>
  </si>
  <si>
    <t>ATZ200</t>
  </si>
  <si>
    <t>A TO Z Technologies Solutions Limited</t>
  </si>
  <si>
    <t>minalr@my-kenya.com</t>
  </si>
  <si>
    <t>0733600304 / 0702095220</t>
  </si>
  <si>
    <t>AUA200</t>
  </si>
  <si>
    <t>AUA INDUSTRIA</t>
  </si>
  <si>
    <t>gilbert.kiragu@aua.co.ke</t>
  </si>
  <si>
    <t>0725998248 / 0735048393</t>
  </si>
  <si>
    <t>AVC201</t>
  </si>
  <si>
    <t>Avtech Consultants Limited</t>
  </si>
  <si>
    <t>abdulaziz@avtech.co.ke</t>
  </si>
  <si>
    <t>AVCS200</t>
  </si>
  <si>
    <t>Audio Visual Control Sysems Ltd</t>
  </si>
  <si>
    <t>kevin@audiovisualcs.com</t>
  </si>
  <si>
    <t>0733550083 / 0736493340</t>
  </si>
  <si>
    <t>AWL200</t>
  </si>
  <si>
    <t>Awesome Kenya Limited</t>
  </si>
  <si>
    <t>info@aqwesomekenya.com</t>
  </si>
  <si>
    <t>0722127001 / 0725055981</t>
  </si>
  <si>
    <t>AXS200</t>
  </si>
  <si>
    <t>Associated Axis Systems</t>
  </si>
  <si>
    <t>amos@axissystems.co.ke</t>
  </si>
  <si>
    <t>0721655916 / 0723887374</t>
  </si>
  <si>
    <t>AXT200</t>
  </si>
  <si>
    <t>Axtron Limited</t>
  </si>
  <si>
    <t>axtronltd@gmail.com</t>
  </si>
  <si>
    <t>0722273229 / 0722623251</t>
  </si>
  <si>
    <t>AZT200</t>
  </si>
  <si>
    <t>A-Z TECHNOLOGIES LIMITED</t>
  </si>
  <si>
    <t>cynthia@azkenya.co.ke</t>
  </si>
  <si>
    <t>0718949078 / 0722415972</t>
  </si>
  <si>
    <t>BAG200</t>
  </si>
  <si>
    <t>Bell Atlantic BKG</t>
  </si>
  <si>
    <t>esther@bellatlantickenya.com</t>
  </si>
  <si>
    <t>0721575126 / 0708812020</t>
  </si>
  <si>
    <t>BAT203</t>
  </si>
  <si>
    <t>BAT'EM INVESTMENT</t>
  </si>
  <si>
    <t>ryan.maina@yahoo.com</t>
  </si>
  <si>
    <t>0729002255 / 0735002255</t>
  </si>
  <si>
    <t>BCL202</t>
  </si>
  <si>
    <t>Bintech consultancy ltd</t>
  </si>
  <si>
    <t>sales@bintech.co.ke</t>
  </si>
  <si>
    <t xml:space="preserve">0025473194252 / </t>
  </si>
  <si>
    <t>BCT201</t>
  </si>
  <si>
    <t>Breezenet Computer Technologies Ltd</t>
  </si>
  <si>
    <t>info@breezenet.co.ke</t>
  </si>
  <si>
    <t xml:space="preserve">254735259985 / </t>
  </si>
  <si>
    <t>BDS201</t>
  </si>
  <si>
    <t>Business Designs &amp; Softwares</t>
  </si>
  <si>
    <t>virani.karim@gmail.com</t>
  </si>
  <si>
    <t xml:space="preserve">+254733795321 / </t>
  </si>
  <si>
    <t>BER200</t>
  </si>
  <si>
    <t>BERIC TECHNOLOGIES</t>
  </si>
  <si>
    <t>eoduor@berictechnologies.co.ke</t>
  </si>
  <si>
    <t>0724545869 / 0736179749</t>
  </si>
  <si>
    <t>BFS200</t>
  </si>
  <si>
    <t>Big Foot Sytems Ltd</t>
  </si>
  <si>
    <t>mwai@nairobiwebspace.com</t>
  </si>
  <si>
    <t>0728160540 / 0203740200</t>
  </si>
  <si>
    <t>BIC200</t>
  </si>
  <si>
    <t>Bicon Technology</t>
  </si>
  <si>
    <t>info@bicontechnologies.com</t>
  </si>
  <si>
    <t>0725702584 / 0721667289</t>
  </si>
  <si>
    <t>BIK200</t>
  </si>
  <si>
    <t>BACKUP INTERNATIONAL</t>
  </si>
  <si>
    <t>siva@backupict.com</t>
  </si>
  <si>
    <t>0782510282 / 0737510282</t>
  </si>
  <si>
    <t>BIL200</t>
  </si>
  <si>
    <t>Brand I T Limited</t>
  </si>
  <si>
    <t>branditltd@gmail.com</t>
  </si>
  <si>
    <t>0780755055 / 0721755055</t>
  </si>
  <si>
    <t>BIL202</t>
  </si>
  <si>
    <t>Bitswift IT Solutions Ltd</t>
  </si>
  <si>
    <t>feroz@bitswfit.co.ke</t>
  </si>
  <si>
    <t>254724343786 / 254733343786</t>
  </si>
  <si>
    <t>BIN201</t>
  </si>
  <si>
    <t>Binard ICT Solutions</t>
  </si>
  <si>
    <t>BinardICTSolutions@yahoo.co.uk</t>
  </si>
  <si>
    <t>BIO200</t>
  </si>
  <si>
    <t>BIOMETRICS TECHNOLOGY LIMITED</t>
  </si>
  <si>
    <t>wangechi@biometricsint.com</t>
  </si>
  <si>
    <t>0721428335 / 0721428335</t>
  </si>
  <si>
    <t>BLA201</t>
  </si>
  <si>
    <t>BUSTANI LOWLANDS AGENCIES LTD</t>
  </si>
  <si>
    <t>info@bustanilowlands.co.ke</t>
  </si>
  <si>
    <t>0721809779 / 0780809779</t>
  </si>
  <si>
    <t>BLB200</t>
  </si>
  <si>
    <t>Blueberry Enterprises</t>
  </si>
  <si>
    <t>abelmwongela@gmail.com</t>
  </si>
  <si>
    <t>0716808376 / 0723441249</t>
  </si>
  <si>
    <t>BLD200</t>
  </si>
  <si>
    <t>BOLD INDUSTRIAL AND DOMESTIC SOLUTIONS LTD</t>
  </si>
  <si>
    <t>info@boldlimited.co.ke</t>
  </si>
  <si>
    <t>0722525063 / 0722525063</t>
  </si>
  <si>
    <t>BLS200</t>
  </si>
  <si>
    <t>Bitlink Systems</t>
  </si>
  <si>
    <t>don@bitlink.co.ke</t>
  </si>
  <si>
    <t>0720990240 / 0202727904</t>
  </si>
  <si>
    <t>BLU200</t>
  </si>
  <si>
    <t>Blue Fox Technologies</t>
  </si>
  <si>
    <t>info@bluefoxtechnologies.co.ke</t>
  </si>
  <si>
    <t>0202318289 / 0721896383</t>
  </si>
  <si>
    <t>BOS201</t>
  </si>
  <si>
    <t>Bonitech Office Solution</t>
  </si>
  <si>
    <t>bonitechofficesolution@yahoo.com</t>
  </si>
  <si>
    <t>0728741194 / 0726294053</t>
  </si>
  <si>
    <t>BRL200</t>
  </si>
  <si>
    <t>Bright Technologies Limited</t>
  </si>
  <si>
    <t>pmomanyi@bright.co.ke</t>
  </si>
  <si>
    <t xml:space="preserve">0729234634 / </t>
  </si>
  <si>
    <t>BRL201</t>
  </si>
  <si>
    <t>BOORIKA LIMITED</t>
  </si>
  <si>
    <t>Yassenovic282@gmail.com</t>
  </si>
  <si>
    <t xml:space="preserve">0725403636 / </t>
  </si>
  <si>
    <t>BRN201</t>
  </si>
  <si>
    <t>BRIN SYSTEMS LIMITED</t>
  </si>
  <si>
    <t>hosea@brinsystems.com</t>
  </si>
  <si>
    <t xml:space="preserve">0721849264 / </t>
  </si>
  <si>
    <t>BRN203</t>
  </si>
  <si>
    <t>BRAND NEKIRONA LTD</t>
  </si>
  <si>
    <t>ndirangu.kimiti@brandnekirona.com</t>
  </si>
  <si>
    <t>0723267099 / 0723480751</t>
  </si>
  <si>
    <t>BRO201</t>
  </si>
  <si>
    <t>BROADSHARE ENTERPRISES</t>
  </si>
  <si>
    <t>broadsharelimited@gmail.com</t>
  </si>
  <si>
    <t xml:space="preserve">+254703931717 / </t>
  </si>
  <si>
    <t>BRT201</t>
  </si>
  <si>
    <t>Bracket Technologies</t>
  </si>
  <si>
    <t>brackettechkenya@gmail.com</t>
  </si>
  <si>
    <t>0746261399 / 0750306677</t>
  </si>
  <si>
    <t>BSE200</t>
  </si>
  <si>
    <t>Basic &amp;Staple Enterprises</t>
  </si>
  <si>
    <t>info@basicandstaple.com</t>
  </si>
  <si>
    <t xml:space="preserve">0721908861 / </t>
  </si>
  <si>
    <t>BSL201</t>
  </si>
  <si>
    <t>Bluebox Systems Limited</t>
  </si>
  <si>
    <t>alex@bluebox.co.ke</t>
  </si>
  <si>
    <t>254721291452 / 254718047854</t>
  </si>
  <si>
    <t>BSL205</t>
  </si>
  <si>
    <t>BIZKEY SOLUTIONS LIMITED</t>
  </si>
  <si>
    <t>autajnr@outlook.com</t>
  </si>
  <si>
    <t xml:space="preserve">0722234090 / </t>
  </si>
  <si>
    <t>BTL205</t>
  </si>
  <si>
    <t>Blissman Technologies Limited</t>
  </si>
  <si>
    <t>blissmantech@gmail.com</t>
  </si>
  <si>
    <t xml:space="preserve">0711262396 / </t>
  </si>
  <si>
    <t>BWL100</t>
  </si>
  <si>
    <t>Branded World Computer System Ltd</t>
  </si>
  <si>
    <t>nandish@brandedworld.com</t>
  </si>
  <si>
    <t>0722733066 / 0718859386</t>
  </si>
  <si>
    <t>BYT200</t>
  </si>
  <si>
    <t>Bytech Engineering Limited</t>
  </si>
  <si>
    <t>hawa@bytech.co.ke</t>
  </si>
  <si>
    <t xml:space="preserve">0733298324 / </t>
  </si>
  <si>
    <t>BZT200</t>
  </si>
  <si>
    <t>BIZZ-TECH SOLUTIONS LTD</t>
  </si>
  <si>
    <t>michael@bizztech.co.ke</t>
  </si>
  <si>
    <t>CAA200</t>
  </si>
  <si>
    <t>Cables And Accesories ltd</t>
  </si>
  <si>
    <t>lucas@cablesaccessories.co.ke</t>
  </si>
  <si>
    <t xml:space="preserve">+254202473137 / </t>
  </si>
  <si>
    <t>CAF200</t>
  </si>
  <si>
    <t>Control Alt Fix Systems</t>
  </si>
  <si>
    <t>ctrlaltfixsystems@gmail.com</t>
  </si>
  <si>
    <t>0798553699 / 0733737355</t>
  </si>
  <si>
    <t>CAS200</t>
  </si>
  <si>
    <t>Compnet Advisory Systems</t>
  </si>
  <si>
    <t>stephenwanda@compnetadvisory.com</t>
  </si>
  <si>
    <t>254722356620 / 2241295</t>
  </si>
  <si>
    <t>CBS200</t>
  </si>
  <si>
    <t>Circuit Business Systems Ltd</t>
  </si>
  <si>
    <t>paul.kamau@cbskenya.com</t>
  </si>
  <si>
    <t>0724824011 / 0720948919</t>
  </si>
  <si>
    <t>CBT201</t>
  </si>
  <si>
    <t>Cybene Technologies</t>
  </si>
  <si>
    <t>bhavin@cybene.org</t>
  </si>
  <si>
    <t>0733443611 / 0733443611</t>
  </si>
  <si>
    <t>CCL100</t>
  </si>
  <si>
    <t>The Copy Cat Ltd</t>
  </si>
  <si>
    <t>akimani@copycatgroup.com</t>
  </si>
  <si>
    <t xml:space="preserve">0721398698 / </t>
  </si>
  <si>
    <t>CCL200</t>
  </si>
  <si>
    <t>mlumumba@copycatgroup.com</t>
  </si>
  <si>
    <t xml:space="preserve">+254700029888 / </t>
  </si>
  <si>
    <t>CCS200</t>
  </si>
  <si>
    <t>Crescent Computer Services Ltd</t>
  </si>
  <si>
    <t>mercy.ooko@crescent.co.ke</t>
  </si>
  <si>
    <t xml:space="preserve">0204440719 / </t>
  </si>
  <si>
    <t>CCS202</t>
  </si>
  <si>
    <t>Chafra Communication Services Limited</t>
  </si>
  <si>
    <t>chafracom@gmail.com</t>
  </si>
  <si>
    <t xml:space="preserve">072155368 / </t>
  </si>
  <si>
    <t>CDS201</t>
  </si>
  <si>
    <t>Crescent Distribution Services Ltd</t>
  </si>
  <si>
    <t>vijay@cdsl.co.ke</t>
  </si>
  <si>
    <t xml:space="preserve">787967265 / </t>
  </si>
  <si>
    <t>CDS203</t>
  </si>
  <si>
    <t>Mart Networks Kenya Ltd Formerly Coast Data</t>
  </si>
  <si>
    <t>abdul.said@mart-networks.com</t>
  </si>
  <si>
    <t>0720014178 / 0777014179</t>
  </si>
  <si>
    <t>CDT200</t>
  </si>
  <si>
    <t>Caption Digital Technologies Ltd</t>
  </si>
  <si>
    <t>info@captiondigital.co.ke</t>
  </si>
  <si>
    <t>0207903700 / 0786508370</t>
  </si>
  <si>
    <t>CDY200</t>
  </si>
  <si>
    <t>Comdynamics Ltd</t>
  </si>
  <si>
    <t>info@comdynamicsltd.com</t>
  </si>
  <si>
    <t xml:space="preserve">0704613919 / </t>
  </si>
  <si>
    <t>CEC200</t>
  </si>
  <si>
    <t>Cecypo Limited</t>
  </si>
  <si>
    <t>computers@cecypo.com</t>
  </si>
  <si>
    <t>254788999993 / 254788999994</t>
  </si>
  <si>
    <t>CEI201</t>
  </si>
  <si>
    <t>CONNECT IT LIMITED</t>
  </si>
  <si>
    <t>asif@connectit.co.ke</t>
  </si>
  <si>
    <t>0722521790 / 0733828383</t>
  </si>
  <si>
    <t>CEN200</t>
  </si>
  <si>
    <t>Century Soft Systems</t>
  </si>
  <si>
    <t>cssfocus@yahoo.com</t>
  </si>
  <si>
    <t>CFL100</t>
  </si>
  <si>
    <t>Copier Force Limited</t>
  </si>
  <si>
    <t>sales2@copierforcekenya.com</t>
  </si>
  <si>
    <t>0720739169 / 0735174440</t>
  </si>
  <si>
    <t>CHI201</t>
  </si>
  <si>
    <t>CHILLTON SOLUTIONS LTD</t>
  </si>
  <si>
    <t>kamandakevin@gmail.com</t>
  </si>
  <si>
    <t>0728038777 / 0747038777</t>
  </si>
  <si>
    <t>CIG200</t>
  </si>
  <si>
    <t>Cloud Ignite</t>
  </si>
  <si>
    <t>sales@cloudignites.com</t>
  </si>
  <si>
    <t xml:space="preserve">+254723342211 / </t>
  </si>
  <si>
    <t>CIT200</t>
  </si>
  <si>
    <t>Coastal Image Technologies</t>
  </si>
  <si>
    <t>coastalimage@hotmail.co.uk</t>
  </si>
  <si>
    <t>0700359086 / 0733740878</t>
  </si>
  <si>
    <t>CKF200</t>
  </si>
  <si>
    <t>CKF ASSOCIATES  LIMITED</t>
  </si>
  <si>
    <t>INFO@CKFASSOCIATES.CO.KE</t>
  </si>
  <si>
    <t xml:space="preserve">0731700894 / </t>
  </si>
  <si>
    <t>CLD200</t>
  </si>
  <si>
    <t>Computer link Distribution ltd</t>
  </si>
  <si>
    <t>raphael@computerlinksltd.com</t>
  </si>
  <si>
    <t xml:space="preserve">0726678664 / </t>
  </si>
  <si>
    <t>CLL200</t>
  </si>
  <si>
    <t>Chem Labs Ltd</t>
  </si>
  <si>
    <t>it@chem-labs.com</t>
  </si>
  <si>
    <t>0203741378 / 0723822595</t>
  </si>
  <si>
    <t>CLN200</t>
  </si>
  <si>
    <t>Compulynx Limited</t>
  </si>
  <si>
    <t>krishna.savani@compulynx.com</t>
  </si>
  <si>
    <t>254203747060 / 254203747060</t>
  </si>
  <si>
    <t>CLO200</t>
  </si>
  <si>
    <t>CLOUDACT TECHNOLOGIES LIMITED</t>
  </si>
  <si>
    <t>info@cloudact.co.ke</t>
  </si>
  <si>
    <t>0722311224 / 072837916</t>
  </si>
  <si>
    <t>CMP201</t>
  </si>
  <si>
    <t>compland company ltd</t>
  </si>
  <si>
    <t>njora@compland.co.ke</t>
  </si>
  <si>
    <t>0702000900 / 0751000900</t>
  </si>
  <si>
    <t>CMT200</t>
  </si>
  <si>
    <t>COMITECH LINK EA LTD</t>
  </si>
  <si>
    <t>samuel@comitechlink.co.ke</t>
  </si>
  <si>
    <t>CMV200</t>
  </si>
  <si>
    <t>Comvilla Solutions</t>
  </si>
  <si>
    <t>comvillasolutions@gmail.com</t>
  </si>
  <si>
    <t>0780876040 / 0726116878</t>
  </si>
  <si>
    <t>CNL200</t>
  </si>
  <si>
    <t>Compulynx Nyanza Limited</t>
  </si>
  <si>
    <t>faith@compulynxnyanza.com</t>
  </si>
  <si>
    <t>0735215172 / 0726133133</t>
  </si>
  <si>
    <t>COM101</t>
  </si>
  <si>
    <t>Computech Limited</t>
  </si>
  <si>
    <t>ebrahim@computechlimited.com</t>
  </si>
  <si>
    <t>0720300900 / 0733748267</t>
  </si>
  <si>
    <t>COM200</t>
  </si>
  <si>
    <t>Computer Revolution Africa Ltd</t>
  </si>
  <si>
    <t>esthern@cragroup.co.ke</t>
  </si>
  <si>
    <t>0721807664 / 0734428311</t>
  </si>
  <si>
    <t>COM201</t>
  </si>
  <si>
    <t>njambi.kimani@computechlimited.com</t>
  </si>
  <si>
    <t xml:space="preserve">0730141108 / </t>
  </si>
  <si>
    <t>COM205</t>
  </si>
  <si>
    <t>Computacare Consultants Ltd</t>
  </si>
  <si>
    <t>computacarekenya@gmail.com</t>
  </si>
  <si>
    <t>0721897820 / 0773497873</t>
  </si>
  <si>
    <t>COT200</t>
  </si>
  <si>
    <t>Compsys Technology Limited</t>
  </si>
  <si>
    <t>ahmed@compsystechnology.com</t>
  </si>
  <si>
    <t xml:space="preserve">0728558970 / </t>
  </si>
  <si>
    <t>CPL205</t>
  </si>
  <si>
    <t>Computer Planet Ltd-(HIK-VISION)</t>
  </si>
  <si>
    <t>hasham@computerplanet.co.ke</t>
  </si>
  <si>
    <t xml:space="preserve">0705885787 / </t>
  </si>
  <si>
    <t>CPS200</t>
  </si>
  <si>
    <t>Crystal Performance &amp; Solutions</t>
  </si>
  <si>
    <t>coyindo@crystalsolutions.co.ke</t>
  </si>
  <si>
    <t xml:space="preserve">0705467777 / </t>
  </si>
  <si>
    <t>CPS201</t>
  </si>
  <si>
    <t>Compridat Systems</t>
  </si>
  <si>
    <t>compridatsystems@gmail.com</t>
  </si>
  <si>
    <t xml:space="preserve">0720673385 / </t>
  </si>
  <si>
    <t>CPX200</t>
  </si>
  <si>
    <t>CYMPHONIX TECHNOLOGIES</t>
  </si>
  <si>
    <t>ronald@cymphonixtec.co.ke</t>
  </si>
  <si>
    <t>0724715944 / 0735693058</t>
  </si>
  <si>
    <t>CPY201</t>
  </si>
  <si>
    <t>Copyrex Limited</t>
  </si>
  <si>
    <t>copyrextechnologies@gmail.com</t>
  </si>
  <si>
    <t>0612032785 / 0722914080</t>
  </si>
  <si>
    <t>CRE205</t>
  </si>
  <si>
    <t>CRATUS ENTERPRISES</t>
  </si>
  <si>
    <t>marystoreske@gmail.com</t>
  </si>
  <si>
    <t xml:space="preserve">0714391978 / </t>
  </si>
  <si>
    <t>CRP201</t>
  </si>
  <si>
    <t>Crystalpac Limited</t>
  </si>
  <si>
    <t>info@crystlapacltd.co.ke</t>
  </si>
  <si>
    <t>0723309310 / 0720763647</t>
  </si>
  <si>
    <t>CRS205</t>
  </si>
  <si>
    <t>CENTURION SYSTEMS</t>
  </si>
  <si>
    <t>ayoung@centurionsystemsltd.com</t>
  </si>
  <si>
    <t>CRT200</t>
  </si>
  <si>
    <t>CARREL TECHNOLOGIES</t>
  </si>
  <si>
    <t>mwariara@carreltech.com</t>
  </si>
  <si>
    <t xml:space="preserve">0725254669 / </t>
  </si>
  <si>
    <t>CSA200</t>
  </si>
  <si>
    <t>Cash Sales Account</t>
  </si>
  <si>
    <t>info.junialltd@gmail.com</t>
  </si>
  <si>
    <t>0726210800 / 0736210800</t>
  </si>
  <si>
    <t>CSL202</t>
  </si>
  <si>
    <t>ColorSonic Ltd</t>
  </si>
  <si>
    <t>ibrahim@csl.co.ke</t>
  </si>
  <si>
    <t>0512211202 / 0727226213</t>
  </si>
  <si>
    <t>CSL205</t>
  </si>
  <si>
    <t>CYBERPRO SOLUTIONS LIMITED</t>
  </si>
  <si>
    <t>cyberprosolutionsltd@gmail.com</t>
  </si>
  <si>
    <t>0722222465 / 0733640066</t>
  </si>
  <si>
    <t>CSS201</t>
  </si>
  <si>
    <t>COMMCARRIER SATELLITE SERVICES LTD</t>
  </si>
  <si>
    <t>jkioli@commcarrier.com</t>
  </si>
  <si>
    <t xml:space="preserve">0725258664 / </t>
  </si>
  <si>
    <t>CST200</t>
  </si>
  <si>
    <t>Cloud Solution Technology Ltd</t>
  </si>
  <si>
    <t>info@cloudsolutiont.com</t>
  </si>
  <si>
    <t>CTC205</t>
  </si>
  <si>
    <t>CLOUD COM TECHNOLOGIES</t>
  </si>
  <si>
    <t>info@cloudcom.co.ke</t>
  </si>
  <si>
    <t>0751628884 / 0799752662</t>
  </si>
  <si>
    <t>CTM200</t>
  </si>
  <si>
    <t>Crescent tech Mombasa</t>
  </si>
  <si>
    <t>shabnam.natha@crescent.co.ke</t>
  </si>
  <si>
    <t>0723898321 / 0787757738</t>
  </si>
  <si>
    <t>CTO200</t>
  </si>
  <si>
    <t>Com Twenty One Limited</t>
  </si>
  <si>
    <t>rmatsila@com21.co.ke</t>
  </si>
  <si>
    <t>254202022244 / 254722704539</t>
  </si>
  <si>
    <t>CTT200</t>
  </si>
  <si>
    <t>Compoint Technologies</t>
  </si>
  <si>
    <t>compointech@outlook.com</t>
  </si>
  <si>
    <t>0723156157 / 0733156157</t>
  </si>
  <si>
    <t>CUB200</t>
  </si>
  <si>
    <t>CUBIC BUSINESS SOLUTIONS LTD</t>
  </si>
  <si>
    <t>technical@cubicsolutions.co.ke</t>
  </si>
  <si>
    <t xml:space="preserve">0733440044 / </t>
  </si>
  <si>
    <t>CWL200</t>
  </si>
  <si>
    <t>Computerways Ltd</t>
  </si>
  <si>
    <t>brenda@computerways.co.ke</t>
  </si>
  <si>
    <t>0727498743 / 0718801634</t>
  </si>
  <si>
    <t>CWT200</t>
  </si>
  <si>
    <t>Computerware Technologies Ltd</t>
  </si>
  <si>
    <t>evans@computerware.co.ke</t>
  </si>
  <si>
    <t xml:space="preserve">0708414113 / </t>
  </si>
  <si>
    <t>CZS200</t>
  </si>
  <si>
    <t>Computaz Systems Ltd</t>
  </si>
  <si>
    <t>gacuca@computazsystems.com</t>
  </si>
  <si>
    <t>254737686786 / 254722686786</t>
  </si>
  <si>
    <t>DAC200</t>
  </si>
  <si>
    <t>Dace Solutions Limited</t>
  </si>
  <si>
    <t>walter@dacesolutions.co.ke</t>
  </si>
  <si>
    <t>DAL200</t>
  </si>
  <si>
    <t>Dry Associates Limited</t>
  </si>
  <si>
    <t>itsupport@dryassociates.com</t>
  </si>
  <si>
    <t xml:space="preserve">020 445 0520 / 0705 799 971 </t>
  </si>
  <si>
    <t>DAL201</t>
  </si>
  <si>
    <t>Digicom Associates Limited</t>
  </si>
  <si>
    <t>oscar.otieno@dicoassociates.com</t>
  </si>
  <si>
    <t>0723535006 / 0721155052</t>
  </si>
  <si>
    <t>DAL202</t>
  </si>
  <si>
    <t>Dawn Solution Limited</t>
  </si>
  <si>
    <t>caroline@dawnsolutions.co.ke</t>
  </si>
  <si>
    <t>0701081214 / 0738188871</t>
  </si>
  <si>
    <t>DAR200</t>
  </si>
  <si>
    <t>DARIAN TECHNOLOGIES LIMITED.</t>
  </si>
  <si>
    <t>evakinama@gmail.com</t>
  </si>
  <si>
    <t xml:space="preserve">0720659420 / </t>
  </si>
  <si>
    <t>DBT200</t>
  </si>
  <si>
    <t>Databit Limited</t>
  </si>
  <si>
    <t>gaitho@databit.net</t>
  </si>
  <si>
    <t>0722685776 / 0203580111</t>
  </si>
  <si>
    <t>DCB200</t>
  </si>
  <si>
    <t>DOCUBASE LIMITED</t>
  </si>
  <si>
    <t>sales@docubase.co.ke</t>
  </si>
  <si>
    <t>0720850696 / 0705658457</t>
  </si>
  <si>
    <t>DCT201</t>
  </si>
  <si>
    <t>DIRECTCORE TECHNOLOGIES LTD</t>
  </si>
  <si>
    <t>betty@directcore.com</t>
  </si>
  <si>
    <t xml:space="preserve">0720534747 / </t>
  </si>
  <si>
    <t>DEL203</t>
  </si>
  <si>
    <t>Delicious Festival East Africa Limited</t>
  </si>
  <si>
    <t>solomon@deliciousfestival.com</t>
  </si>
  <si>
    <t xml:space="preserve">0715554411 / </t>
  </si>
  <si>
    <t>DELL200</t>
  </si>
  <si>
    <t>DELLCO TECHNOLOGIES LTD</t>
  </si>
  <si>
    <t>James@dellcotech.co.ke</t>
  </si>
  <si>
    <t xml:space="preserve">+254723226163 / </t>
  </si>
  <si>
    <t>DET201</t>
  </si>
  <si>
    <t>Detaline Ventures</t>
  </si>
  <si>
    <t>bgodfrey@detaliineventures.com</t>
  </si>
  <si>
    <t xml:space="preserve">254710959188 / </t>
  </si>
  <si>
    <t>DEV201</t>
  </si>
  <si>
    <t>Devart Limited</t>
  </si>
  <si>
    <t>info@devart.co.ke</t>
  </si>
  <si>
    <t xml:space="preserve">0711222573 / </t>
  </si>
  <si>
    <t>DIG200</t>
  </si>
  <si>
    <t>Digix Limited</t>
  </si>
  <si>
    <t>maulik@digixltd.com</t>
  </si>
  <si>
    <t>0734709787 / 0724341557</t>
  </si>
  <si>
    <t>DIG201</t>
  </si>
  <si>
    <t>Dignity Traders</t>
  </si>
  <si>
    <t>admin@dignityafrica.com</t>
  </si>
  <si>
    <t>0723788354 / 0773029610</t>
  </si>
  <si>
    <t>DLC200</t>
  </si>
  <si>
    <t>Dunia Link Communication</t>
  </si>
  <si>
    <t>sales@dunialink.com</t>
  </si>
  <si>
    <t>0722337039 / 0722337039</t>
  </si>
  <si>
    <t>DLC201</t>
  </si>
  <si>
    <t>Dale Computers</t>
  </si>
  <si>
    <t>catherine@dalecomputers.net</t>
  </si>
  <si>
    <t xml:space="preserve">020345666 / </t>
  </si>
  <si>
    <t>DMT200</t>
  </si>
  <si>
    <t>Dewmag Technologies</t>
  </si>
  <si>
    <t>wandera@dewmag.co.ke</t>
  </si>
  <si>
    <t>0412318171 / 0412318172</t>
  </si>
  <si>
    <t>DNS200</t>
  </si>
  <si>
    <t>DN Solutions Limited</t>
  </si>
  <si>
    <t>n.chandra@dnslonline.com</t>
  </si>
  <si>
    <t>0707472277 / 0780045789</t>
  </si>
  <si>
    <t>DNS205</t>
  </si>
  <si>
    <t>DNS SOLUTIONS</t>
  </si>
  <si>
    <t>dnssolutionskenya@gmail.com</t>
  </si>
  <si>
    <t>0733366808 / 0712077622</t>
  </si>
  <si>
    <t>DOB205</t>
  </si>
  <si>
    <t>DOBCHA ENTERPRISE</t>
  </si>
  <si>
    <t>charlesmwadeghu@gmail.com</t>
  </si>
  <si>
    <t>0724002286 / 0789285933</t>
  </si>
  <si>
    <t>DOT200</t>
  </si>
  <si>
    <t>DIRECT OFFICE TECHNOLOGY LTD</t>
  </si>
  <si>
    <t>hsomba@directoffice.co.ke</t>
  </si>
  <si>
    <t xml:space="preserve">0727047503 / </t>
  </si>
  <si>
    <t>DRE200</t>
  </si>
  <si>
    <t>DRECOT company limited</t>
  </si>
  <si>
    <t>drecotcompanylimited@gmail.com</t>
  </si>
  <si>
    <t>0728254117 / 0735791270</t>
  </si>
  <si>
    <t>DSH201</t>
  </si>
  <si>
    <t>Data Shield Systems Limited</t>
  </si>
  <si>
    <t>info@datashield.co.ke</t>
  </si>
  <si>
    <t xml:space="preserve">0202007708 / </t>
  </si>
  <si>
    <t>DSL200</t>
  </si>
  <si>
    <t>Diamond Systems Ltd.</t>
  </si>
  <si>
    <t>sales@dskenya.com</t>
  </si>
  <si>
    <t>DSP201</t>
  </si>
  <si>
    <t>DataSpine Ltd</t>
  </si>
  <si>
    <t>info@dataspine.co.ke</t>
  </si>
  <si>
    <t xml:space="preserve">0777778849 / </t>
  </si>
  <si>
    <t>DSP202</t>
  </si>
  <si>
    <t>DATA SPOT TECHNOLOGIES LTD</t>
  </si>
  <si>
    <t>kamau@data-spot.com</t>
  </si>
  <si>
    <t>0724159537 / 0737159537</t>
  </si>
  <si>
    <t>DTL202</t>
  </si>
  <si>
    <t>DOUBLENET TECHNOLOGIES LTD</t>
  </si>
  <si>
    <t>INFO@DOUBLENET.CO.KE</t>
  </si>
  <si>
    <t>0726445945 / 0720703535</t>
  </si>
  <si>
    <t>DTL205</t>
  </si>
  <si>
    <t>Datanet Limited</t>
  </si>
  <si>
    <t>sourcing@datanet.co.ke</t>
  </si>
  <si>
    <t>0202677400 / 0722766655</t>
  </si>
  <si>
    <t>DTS200</t>
  </si>
  <si>
    <t>Dobetech Solutions</t>
  </si>
  <si>
    <t>info@dobetechsolutions.co.ke</t>
  </si>
  <si>
    <t>0720783490 / 0738044232</t>
  </si>
  <si>
    <t>DTS201</t>
  </si>
  <si>
    <t>Disktech Systems</t>
  </si>
  <si>
    <t>info@disktechsystems.com</t>
  </si>
  <si>
    <t>0722681956 / 0711685773</t>
  </si>
  <si>
    <t>DUA200</t>
  </si>
  <si>
    <t>Dial Up Associates</t>
  </si>
  <si>
    <t>info@dialup.co.ke</t>
  </si>
  <si>
    <t>254722175372 / 254721275714</t>
  </si>
  <si>
    <t>DUE200</t>
  </si>
  <si>
    <t>DUECONNECT SOLUTIONS LIMITED</t>
  </si>
  <si>
    <t>jean@dueconnect.co.ke</t>
  </si>
  <si>
    <t>0715038125 / 0736086899</t>
  </si>
  <si>
    <t>DUK200</t>
  </si>
  <si>
    <t>DUKATECH STORES LIMITED</t>
  </si>
  <si>
    <t>juliusmmuiruri@gmail.com</t>
  </si>
  <si>
    <t>0718566612 / 0711496498</t>
  </si>
  <si>
    <t>DUN200</t>
  </si>
  <si>
    <t>DUNECOM GROUP LIMITED</t>
  </si>
  <si>
    <t>ceo@dunecom.co.ke</t>
  </si>
  <si>
    <t xml:space="preserve">0722552523 / </t>
  </si>
  <si>
    <t>DWN200</t>
  </si>
  <si>
    <t>Down To Earth Technologies Ltd</t>
  </si>
  <si>
    <t>info@dte.co.ke</t>
  </si>
  <si>
    <t>0204343070 / 0786246605</t>
  </si>
  <si>
    <t>DYN205</t>
  </si>
  <si>
    <t>Dynatic Technologies Ltd</t>
  </si>
  <si>
    <t>dhruv@dynatic.co.ke</t>
  </si>
  <si>
    <t xml:space="preserve">+254712412567 / </t>
  </si>
  <si>
    <t>EAS201</t>
  </si>
  <si>
    <t>EASTSUN ENERGY SOLUTIONS LIMITED</t>
  </si>
  <si>
    <t>erkmunuve@yahoo.com</t>
  </si>
  <si>
    <t>EBS205</t>
  </si>
  <si>
    <t>Eshcol business solutions</t>
  </si>
  <si>
    <t>info@eshcolsolutions.com</t>
  </si>
  <si>
    <t>0717740005 / 0780740005</t>
  </si>
  <si>
    <t>EBT200</t>
  </si>
  <si>
    <t>Essential Business Technology Ltd</t>
  </si>
  <si>
    <t>sammy@ebtechnology.co.ke</t>
  </si>
  <si>
    <t>0733749372 / 0702390924</t>
  </si>
  <si>
    <t>EDS200</t>
  </si>
  <si>
    <t>Edgetech Digital Solutions Limited</t>
  </si>
  <si>
    <t>rachael.g@edgetechdigital.com</t>
  </si>
  <si>
    <t xml:space="preserve">0721629240 / </t>
  </si>
  <si>
    <t>EDS205</t>
  </si>
  <si>
    <t>elite digital solutions</t>
  </si>
  <si>
    <t>kasim@elitedigital.co.ke</t>
  </si>
  <si>
    <t xml:space="preserve">+254733619183 / </t>
  </si>
  <si>
    <t>EGL200</t>
  </si>
  <si>
    <t>Exciters Group Limited</t>
  </si>
  <si>
    <t>kevinkoru@gmail.com</t>
  </si>
  <si>
    <t>254728629960 / 254100916164</t>
  </si>
  <si>
    <t>EGV200</t>
  </si>
  <si>
    <t>Engravers world ltd</t>
  </si>
  <si>
    <t>engraversworld2016@gmail.com</t>
  </si>
  <si>
    <t>0738583109 / 0795693613</t>
  </si>
  <si>
    <t>EIL200</t>
  </si>
  <si>
    <t>Esetoric Systems Limited</t>
  </si>
  <si>
    <t>info@esetoric.co.ke</t>
  </si>
  <si>
    <t xml:space="preserve">0208077984 / </t>
  </si>
  <si>
    <t>ELT201</t>
  </si>
  <si>
    <t>Elite Consortium Associates limited</t>
  </si>
  <si>
    <t>info@eca.co.ke</t>
  </si>
  <si>
    <t xml:space="preserve">0204401533 / </t>
  </si>
  <si>
    <t>ELV200</t>
  </si>
  <si>
    <t>ELEVETUS TECHNOLOGIES</t>
  </si>
  <si>
    <t>kelvin@laptopclinic.co.ke</t>
  </si>
  <si>
    <t>0714535958 / 0729257147</t>
  </si>
  <si>
    <t>ELV201</t>
  </si>
  <si>
    <t>Elevate Limited</t>
  </si>
  <si>
    <t>levis.oselito1@gmail.com</t>
  </si>
  <si>
    <t xml:space="preserve">0712790845 / </t>
  </si>
  <si>
    <t>ENS201</t>
  </si>
  <si>
    <t>Enest Solution Limited</t>
  </si>
  <si>
    <t>xavier@enestsolutions.com</t>
  </si>
  <si>
    <t>0738291345 / 0722999522</t>
  </si>
  <si>
    <t>EPC200</t>
  </si>
  <si>
    <t>Easy point Computer ltd</t>
  </si>
  <si>
    <t>zaki@easypointcomputers.com</t>
  </si>
  <si>
    <t xml:space="preserve">254721105232 / </t>
  </si>
  <si>
    <t>EPI</t>
  </si>
  <si>
    <t>Epinician Ltd</t>
  </si>
  <si>
    <t>sheena@epinician-ltd.com</t>
  </si>
  <si>
    <t xml:space="preserve">0702552233 / </t>
  </si>
  <si>
    <t>EPT200</t>
  </si>
  <si>
    <t>Epitome Panafrican Tech Ltd</t>
  </si>
  <si>
    <t>jkimani@epitomepanafricantech.net</t>
  </si>
  <si>
    <t xml:space="preserve">0722922852 / </t>
  </si>
  <si>
    <t>ESC200</t>
  </si>
  <si>
    <t>Escom Computers Ltd</t>
  </si>
  <si>
    <t>info@escomcomputers.com</t>
  </si>
  <si>
    <t xml:space="preserve">0725649559 / </t>
  </si>
  <si>
    <t>ESL200</t>
  </si>
  <si>
    <t>Eastra Solutions Limited</t>
  </si>
  <si>
    <t>peris.murugi@eatrasolutions.co.ke</t>
  </si>
  <si>
    <t xml:space="preserve">0709502000 / </t>
  </si>
  <si>
    <t>EST200</t>
  </si>
  <si>
    <t>Estec Ltd</t>
  </si>
  <si>
    <t>esmail@estech.co.ke</t>
  </si>
  <si>
    <t>0711725595 / 0711725595</t>
  </si>
  <si>
    <t>EST205</t>
  </si>
  <si>
    <t>EDUCATIONAL SCIENTIFIC AND TECHNICAL EQUIPMENT COMPANY LIMITED</t>
  </si>
  <si>
    <t>info@esteckenya.com</t>
  </si>
  <si>
    <t>69537710 / 786267223</t>
  </si>
  <si>
    <t>ESY200</t>
  </si>
  <si>
    <t>Easy Link Technologies</t>
  </si>
  <si>
    <t>info@easylink.co.ke</t>
  </si>
  <si>
    <t xml:space="preserve">733626069 / </t>
  </si>
  <si>
    <t>ETE200</t>
  </si>
  <si>
    <t>Encrypta Technologies</t>
  </si>
  <si>
    <t>YASSER@ENCRYPTA.CO.KE</t>
  </si>
  <si>
    <t xml:space="preserve">0729379397 / </t>
  </si>
  <si>
    <t>ETS201</t>
  </si>
  <si>
    <t>EasyTech Solutions Ltd</t>
  </si>
  <si>
    <t>robert@easytechsolutions.co.ke</t>
  </si>
  <si>
    <t>0722805181 / 0727071314</t>
  </si>
  <si>
    <t>EWS200</t>
  </si>
  <si>
    <t>Easywiz Web Solutions</t>
  </si>
  <si>
    <t>zgitau@eazywiz.com</t>
  </si>
  <si>
    <t xml:space="preserve">0722507995 / </t>
  </si>
  <si>
    <t>EXE200</t>
  </si>
  <si>
    <t>Executech Systems</t>
  </si>
  <si>
    <t>kizimbah_ambrose@executech.co.ke</t>
  </si>
  <si>
    <t>EXE201</t>
  </si>
  <si>
    <t>EXELIENT TECHNOLOGIES LTD</t>
  </si>
  <si>
    <t>stanley@exelient.co.ke</t>
  </si>
  <si>
    <t xml:space="preserve">0739510121 / </t>
  </si>
  <si>
    <t>EXP200</t>
  </si>
  <si>
    <t>Express Automation Ltd</t>
  </si>
  <si>
    <t>alfred.macharia@expauto.com</t>
  </si>
  <si>
    <t>0206962000 / 0206962000</t>
  </si>
  <si>
    <t>EXT205</t>
  </si>
  <si>
    <t>EXPRESSNET TECHNOLOGIES</t>
  </si>
  <si>
    <t>admin@expressnet.co.ke</t>
  </si>
  <si>
    <t>0720457540 / 0777457540</t>
  </si>
  <si>
    <t>EYT200</t>
  </si>
  <si>
    <t>Emydech Technologies</t>
  </si>
  <si>
    <t>emydechltd@outlook.com</t>
  </si>
  <si>
    <t>0724113367 / 0731197366</t>
  </si>
  <si>
    <t>FAB205</t>
  </si>
  <si>
    <t>FABQUEST IT SOLUTIONS</t>
  </si>
  <si>
    <t>eric@fabquestitsolutions.co.ke</t>
  </si>
  <si>
    <t xml:space="preserve">0700311835 / </t>
  </si>
  <si>
    <t>FBB200</t>
  </si>
  <si>
    <t>Fakhri Bits and Bytes</t>
  </si>
  <si>
    <t>murtaza@fakhrikenya.com</t>
  </si>
  <si>
    <t>FBS205</t>
  </si>
  <si>
    <t>FUSION BRIDGING SOLUTIONS</t>
  </si>
  <si>
    <t>fusionbridging@gmail.com</t>
  </si>
  <si>
    <t xml:space="preserve">0733730892 / </t>
  </si>
  <si>
    <t>FET100</t>
  </si>
  <si>
    <t>Fouress Technologies</t>
  </si>
  <si>
    <t>satish@4s.co.ke</t>
  </si>
  <si>
    <t xml:space="preserve">0700292088 / </t>
  </si>
  <si>
    <t>FET201</t>
  </si>
  <si>
    <t>Five Elements Technologies Ltd</t>
  </si>
  <si>
    <t>tanay@5eletech.com</t>
  </si>
  <si>
    <t>254733426388 / 254722714589</t>
  </si>
  <si>
    <t>FGE202</t>
  </si>
  <si>
    <t>FGEE TECHNOLOGY LTD</t>
  </si>
  <si>
    <t>info@fgee.co.ke</t>
  </si>
  <si>
    <t>0722926762 / 0733845751</t>
  </si>
  <si>
    <t>FIN100</t>
  </si>
  <si>
    <t>Fincom Technologies Ltd</t>
  </si>
  <si>
    <t>ewangari@myfincom.com</t>
  </si>
  <si>
    <t>0712991808 / 2731141</t>
  </si>
  <si>
    <t>FIN200</t>
  </si>
  <si>
    <t>rnderitu@myfincom.com</t>
  </si>
  <si>
    <t xml:space="preserve">2540202731141 / </t>
  </si>
  <si>
    <t>FIR202</t>
  </si>
  <si>
    <t>FIRMCOP LIMITED</t>
  </si>
  <si>
    <t>admin@firmcop.co.ke</t>
  </si>
  <si>
    <t>0714521170 / 0771735815</t>
  </si>
  <si>
    <t>FIS200</t>
  </si>
  <si>
    <t>FISCOM SOLUTIONS</t>
  </si>
  <si>
    <t>fiscomsolutions@gmail.com</t>
  </si>
  <si>
    <t>732889988 / 732889988</t>
  </si>
  <si>
    <t>FIX200</t>
  </si>
  <si>
    <t>FIXCOMP TECHNOLOGIES</t>
  </si>
  <si>
    <t>KAZUNGUK@GMAIL.COM</t>
  </si>
  <si>
    <t xml:space="preserve">0726471583 / </t>
  </si>
  <si>
    <t>FKL200</t>
  </si>
  <si>
    <t>Four Leaves Kenya LTD</t>
  </si>
  <si>
    <t>kenneth@fourleaves.co.ke</t>
  </si>
  <si>
    <t xml:space="preserve">0723434630 / </t>
  </si>
  <si>
    <t>FLL205</t>
  </si>
  <si>
    <t>Flebytes Limited</t>
  </si>
  <si>
    <t>elly.tangaza@flebyteslimited.co.ke</t>
  </si>
  <si>
    <t>0735201496 / 0714840730</t>
  </si>
  <si>
    <t>FNS200</t>
  </si>
  <si>
    <t>Fastnet Solutions Limited</t>
  </si>
  <si>
    <t>fastnetsols@gmail.com</t>
  </si>
  <si>
    <t>0722472984 / 0739833683</t>
  </si>
  <si>
    <t>FOC200</t>
  </si>
  <si>
    <t>Flexworld Online Company Limited</t>
  </si>
  <si>
    <t>info@flexworld.co.ke</t>
  </si>
  <si>
    <t xml:space="preserve">0722897649 / </t>
  </si>
  <si>
    <t>FRS200</t>
  </si>
  <si>
    <t>FRESCO LIMITED</t>
  </si>
  <si>
    <t>info@fresco.co.ke</t>
  </si>
  <si>
    <t>0724684631 / 0721502505</t>
  </si>
  <si>
    <t>FRT200</t>
  </si>
  <si>
    <t>Fourthright Technologies</t>
  </si>
  <si>
    <t>fourthright@gmail.com</t>
  </si>
  <si>
    <t xml:space="preserve">07332727270 / </t>
  </si>
  <si>
    <t>FSL201</t>
  </si>
  <si>
    <t>FIBRECOM SOLUTIONS LIMITED</t>
  </si>
  <si>
    <t>info@fibrecom.co.ke</t>
  </si>
  <si>
    <t>0722565569 / 0727153375</t>
  </si>
  <si>
    <t>FSL202</t>
  </si>
  <si>
    <t>Frost Systems Limited</t>
  </si>
  <si>
    <t>info@frostsystems.co</t>
  </si>
  <si>
    <t>0731843897 / 0717143118</t>
  </si>
  <si>
    <t>FTK200</t>
  </si>
  <si>
    <t>Future Kenya ltd</t>
  </si>
  <si>
    <t>naveedsheikh@futurekenya.com</t>
  </si>
  <si>
    <t>0725826078 / 0720130172</t>
  </si>
  <si>
    <t>FTL200</t>
  </si>
  <si>
    <t>Fashtech Computers Limited</t>
  </si>
  <si>
    <t>info@fashtechcomputers.com</t>
  </si>
  <si>
    <t>0202242052 / 0722318105</t>
  </si>
  <si>
    <t>FTL202</t>
  </si>
  <si>
    <t>Flikar Tracking Ltd</t>
  </si>
  <si>
    <t>flikartracking@gmail.com</t>
  </si>
  <si>
    <t>0713867852 / 0735005094</t>
  </si>
  <si>
    <t>FTL205</t>
  </si>
  <si>
    <t>FIRST TECHCOMPUTERS LIMITED</t>
  </si>
  <si>
    <t>Emmanuel@firstecomp.co.ke</t>
  </si>
  <si>
    <t>0720874383 / 0732591363</t>
  </si>
  <si>
    <t>FTS205</t>
  </si>
  <si>
    <t>FINTECH TRADING AND SERVICES LIMITED</t>
  </si>
  <si>
    <t>jamesmbarathi@fintech-services.co.ke</t>
  </si>
  <si>
    <t xml:space="preserve">0723940280 / </t>
  </si>
  <si>
    <t>GAS200</t>
  </si>
  <si>
    <t>Gatec Solutions kenya ltd</t>
  </si>
  <si>
    <t>chris@gatecsolutions.co.ke</t>
  </si>
  <si>
    <t xml:space="preserve">254722705813 / </t>
  </si>
  <si>
    <t>GBS200</t>
  </si>
  <si>
    <t>Gigabit Solutions Limited</t>
  </si>
  <si>
    <t>mmarimba@gmail.com</t>
  </si>
  <si>
    <t xml:space="preserve">0720382886 / </t>
  </si>
  <si>
    <t>GBS201</t>
  </si>
  <si>
    <t>Globalspec business solutions ltd.</t>
  </si>
  <si>
    <t>info@globalspecsolutions.com</t>
  </si>
  <si>
    <t>0721113431 / 0725440342</t>
  </si>
  <si>
    <t>GCE200</t>
  </si>
  <si>
    <t>Genisys Computer Engineering System Ltd</t>
  </si>
  <si>
    <t>genisyscomp@yahoo.com</t>
  </si>
  <si>
    <t>0723440789 / 0723440789</t>
  </si>
  <si>
    <t>GCS200</t>
  </si>
  <si>
    <t>Gitech Computer Systems</t>
  </si>
  <si>
    <t>bernard@gitech.co.ke</t>
  </si>
  <si>
    <t xml:space="preserve">0722805895 / </t>
  </si>
  <si>
    <t>GEC200</t>
  </si>
  <si>
    <t>Globoedge Solutions</t>
  </si>
  <si>
    <t>esther@globoedge.co.ke</t>
  </si>
  <si>
    <t>0734873767 / 0791560364</t>
  </si>
  <si>
    <t>GEL204</t>
  </si>
  <si>
    <t>Green Editors Limited</t>
  </si>
  <si>
    <t>info@greeneditors.co.ke</t>
  </si>
  <si>
    <t>0718422569 / 0723633242</t>
  </si>
  <si>
    <t>GGL200</t>
  </si>
  <si>
    <t>Sybyl Kenya Ltd.</t>
  </si>
  <si>
    <t>jacqueline.wamuyu@sybyl.com</t>
  </si>
  <si>
    <t xml:space="preserve">0733700183 / </t>
  </si>
  <si>
    <t>GGL201</t>
  </si>
  <si>
    <t>Grind Group Limited</t>
  </si>
  <si>
    <t>info@thegrindgroup.com</t>
  </si>
  <si>
    <t xml:space="preserve">0726201714 / </t>
  </si>
  <si>
    <t>GHL205</t>
  </si>
  <si>
    <t>GAMERS HEADQUARTERS LIMITED</t>
  </si>
  <si>
    <t>info@gamershq.co.ke</t>
  </si>
  <si>
    <t xml:space="preserve">254722512600 / </t>
  </si>
  <si>
    <t>GIG200</t>
  </si>
  <si>
    <t>Gigabyte Systems</t>
  </si>
  <si>
    <t>info@gigabyte.co.ke</t>
  </si>
  <si>
    <t>0722351014 / 0705299666</t>
  </si>
  <si>
    <t>GIZ205</t>
  </si>
  <si>
    <t>GIZA SYSTEMS</t>
  </si>
  <si>
    <t>mohamed.samir@gizasystems.com</t>
  </si>
  <si>
    <t>0728787395 / 0798404662</t>
  </si>
  <si>
    <t>GLL205</t>
  </si>
  <si>
    <t>GLOBIVA LTD</t>
  </si>
  <si>
    <t>raphael.ngenga@globiva.org</t>
  </si>
  <si>
    <t xml:space="preserve">254 020 24000 / </t>
  </si>
  <si>
    <t>GLT200</t>
  </si>
  <si>
    <t>GreenLine Technology ltd</t>
  </si>
  <si>
    <t>SALES@GREENLINE.CO.KE</t>
  </si>
  <si>
    <t>254722313923 / 254733610758</t>
  </si>
  <si>
    <t>GNG200</t>
  </si>
  <si>
    <t>GADGET &amp; GIZMOS</t>
  </si>
  <si>
    <t>haider@csplkenya.com</t>
  </si>
  <si>
    <t>0703313331 / 0722703152</t>
  </si>
  <si>
    <t>GOK200</t>
  </si>
  <si>
    <t>GOKALS LIMITED</t>
  </si>
  <si>
    <t>bhavna.gokals@gmail.com</t>
  </si>
  <si>
    <t>0733700347 / 0733700347</t>
  </si>
  <si>
    <t>GSI200</t>
  </si>
  <si>
    <t>Greatshore Investment</t>
  </si>
  <si>
    <t>kashgatheru@yahoo.com</t>
  </si>
  <si>
    <t>GSL205</t>
  </si>
  <si>
    <t>GLANTIX SOLUTIONS LTD</t>
  </si>
  <si>
    <t>sales@glantix.co.ke</t>
  </si>
  <si>
    <t>0780310680 / 0731000736</t>
  </si>
  <si>
    <t>GTE200</t>
  </si>
  <si>
    <t>Generation Technologies</t>
  </si>
  <si>
    <t>info@generationtechnologies.co.ke</t>
  </si>
  <si>
    <t>0705547798 / 0722357337</t>
  </si>
  <si>
    <t>GTS201</t>
  </si>
  <si>
    <t>Gadget and Tech Services</t>
  </si>
  <si>
    <t>ambrosemaina2@gmail.com</t>
  </si>
  <si>
    <t>0731026222 / 0719890520</t>
  </si>
  <si>
    <t>HAL200</t>
  </si>
  <si>
    <t>Hotpoint Appliances Limited</t>
  </si>
  <si>
    <t>showroom@hotpoint.co.ke</t>
  </si>
  <si>
    <t xml:space="preserve">0734333034 / </t>
  </si>
  <si>
    <t>HAR200</t>
  </si>
  <si>
    <t>Haree Techno Ltd</t>
  </si>
  <si>
    <t>sunil@hareetechno.co.ke</t>
  </si>
  <si>
    <t>0731846746 / 0799609945</t>
  </si>
  <si>
    <t>HAR201</t>
  </si>
  <si>
    <t>HARLER TECHNOLOGIES LTD</t>
  </si>
  <si>
    <t>owiti@harlertechnologies.com</t>
  </si>
  <si>
    <t xml:space="preserve">254723632987 / </t>
  </si>
  <si>
    <t>HBS200</t>
  </si>
  <si>
    <t>Haja Business Solution ltd</t>
  </si>
  <si>
    <t>dkibe@haja.co.ke</t>
  </si>
  <si>
    <t xml:space="preserve">0202400402 / </t>
  </si>
  <si>
    <t>HCT200</t>
  </si>
  <si>
    <t>Hardcopy Technologies Limited</t>
  </si>
  <si>
    <t>hardcopytechnologies@gmail.com</t>
  </si>
  <si>
    <t>0722686989 / 0727450601</t>
  </si>
  <si>
    <t>HEN200</t>
  </si>
  <si>
    <t>Henways Enterprises</t>
  </si>
  <si>
    <t>henwaysenterprises@gmail.com</t>
  </si>
  <si>
    <t>0724992645 / 0724992645</t>
  </si>
  <si>
    <t>HGL200</t>
  </si>
  <si>
    <t>Harnssen Group Ltd</t>
  </si>
  <si>
    <t>ashley@harnssengroup.com</t>
  </si>
  <si>
    <t>0776377856 / 0776377856</t>
  </si>
  <si>
    <t>HIN200</t>
  </si>
  <si>
    <t>HINRICHS GENERAL SUPPLIES</t>
  </si>
  <si>
    <t>sales@hinrichsgeneralsupplies.co.ke</t>
  </si>
  <si>
    <t>254724325699 / 254738325699</t>
  </si>
  <si>
    <t>HOT200</t>
  </si>
  <si>
    <t>HOUSE OF TECHNOLOGY LIMITED</t>
  </si>
  <si>
    <t>info@hotcomhardware.com</t>
  </si>
  <si>
    <t>0720600607 / 0725756580</t>
  </si>
  <si>
    <t>HPS200</t>
  </si>
  <si>
    <t>Hipulse Power Systems ltd</t>
  </si>
  <si>
    <t>dkamau@hipulsepower.com</t>
  </si>
  <si>
    <t>0733770188 / 0721733862</t>
  </si>
  <si>
    <t>HRZ200</t>
  </si>
  <si>
    <t>Horizons Group Ltd</t>
  </si>
  <si>
    <t>fredericks@horizonsoffices.com</t>
  </si>
  <si>
    <t>0732188401 / 0728777143</t>
  </si>
  <si>
    <t>HTL201</t>
  </si>
  <si>
    <t>Hifin Technosys Ltd</t>
  </si>
  <si>
    <t>info@hifintechnosys.com</t>
  </si>
  <si>
    <t>0721511171 / 0721601606</t>
  </si>
  <si>
    <t>HUB200</t>
  </si>
  <si>
    <t>HUBTECH LIMITED</t>
  </si>
  <si>
    <t>gideonkuria@hubtech.co.ke</t>
  </si>
  <si>
    <t>0711576909 / 0733366916</t>
  </si>
  <si>
    <t>HUK200</t>
  </si>
  <si>
    <t>HUKI Group</t>
  </si>
  <si>
    <t>samson@hukidigital.com</t>
  </si>
  <si>
    <t>0759995450 / 0770187802</t>
  </si>
  <si>
    <t>HYP200</t>
  </si>
  <si>
    <t>Hyper DATA Limited.</t>
  </si>
  <si>
    <t>brian@hyperdata.co.ke</t>
  </si>
  <si>
    <t>0720751166 / 0202002888</t>
  </si>
  <si>
    <t>IAM200</t>
  </si>
  <si>
    <t>IAMTECH DISTRIBUTION</t>
  </si>
  <si>
    <t>info@iamtech.biz</t>
  </si>
  <si>
    <t xml:space="preserve">0722719921 / </t>
  </si>
  <si>
    <t>IAT200</t>
  </si>
  <si>
    <t>Intellec Applied Tech Ltd</t>
  </si>
  <si>
    <t>gskariuki@intellec.co.ke</t>
  </si>
  <si>
    <t>0722635347 / 0722635347</t>
  </si>
  <si>
    <t>IBN200</t>
  </si>
  <si>
    <t>Inborn Solutions Company  Limited</t>
  </si>
  <si>
    <t>nkimani@inbornsolutions.co.ke</t>
  </si>
  <si>
    <t xml:space="preserve">0724968693 / </t>
  </si>
  <si>
    <t>IBS202</t>
  </si>
  <si>
    <t>Itell Business Solutions Limited</t>
  </si>
  <si>
    <t>itellbs@hotmail.com</t>
  </si>
  <si>
    <t>0788122740 / 0729547953</t>
  </si>
  <si>
    <t>ICE200</t>
  </si>
  <si>
    <t>ICE AND CUBES SOLUTIONS</t>
  </si>
  <si>
    <t>info@iceandcubessolution.co.ke</t>
  </si>
  <si>
    <t>0721671564 / 0733835933</t>
  </si>
  <si>
    <t>ICL200</t>
  </si>
  <si>
    <t>Dimension Data Solutions Ltd</t>
  </si>
  <si>
    <t>mital.shah@dimensiondata.com</t>
  </si>
  <si>
    <t xml:space="preserve">254733233707 / </t>
  </si>
  <si>
    <t>ICT2000</t>
  </si>
  <si>
    <t>Increate Technologies</t>
  </si>
  <si>
    <t>sales@increatetechnologies.com</t>
  </si>
  <si>
    <t>0733990416 / 254727456079</t>
  </si>
  <si>
    <t>ICT205</t>
  </si>
  <si>
    <t>ICT RESELLERS LIMITED</t>
  </si>
  <si>
    <t>ictresellers@gmail.com</t>
  </si>
  <si>
    <t>0717293334 / 0786993466</t>
  </si>
  <si>
    <t>IFC200</t>
  </si>
  <si>
    <t>INFITECH LTD</t>
  </si>
  <si>
    <t>info@infi.tech</t>
  </si>
  <si>
    <t xml:space="preserve">0722610605 / </t>
  </si>
  <si>
    <t>IFL200</t>
  </si>
  <si>
    <t>Infoserve Technologies</t>
  </si>
  <si>
    <t>wilson@infoservekenya.com</t>
  </si>
  <si>
    <t>0722542698 / 0731999254</t>
  </si>
  <si>
    <t>IFL205</t>
  </si>
  <si>
    <t>Infomage Solutions Limited</t>
  </si>
  <si>
    <t>info@infomage.co.ke</t>
  </si>
  <si>
    <t xml:space="preserve">0722353699 / </t>
  </si>
  <si>
    <t>IFS100</t>
  </si>
  <si>
    <t>Izon Future Systems Ltd</t>
  </si>
  <si>
    <t>ewanjiku@izonsystems.co.ke</t>
  </si>
  <si>
    <t>0202100038 / 0202322013</t>
  </si>
  <si>
    <t>IGC200</t>
  </si>
  <si>
    <t>IT Guru Computers</t>
  </si>
  <si>
    <t>guru@itguru.co.ke</t>
  </si>
  <si>
    <t>IIL200</t>
  </si>
  <si>
    <t>One Infotech Limited</t>
  </si>
  <si>
    <t>marketing@one-infotech.com</t>
  </si>
  <si>
    <t>IMA200</t>
  </si>
  <si>
    <t>Image Plus Limited</t>
  </si>
  <si>
    <t>gid@imageplus.co.ke</t>
  </si>
  <si>
    <t>0734983577 / 0734983577</t>
  </si>
  <si>
    <t>IMA201</t>
  </si>
  <si>
    <t>Image Office Supplies Limited</t>
  </si>
  <si>
    <t>mrajan@image-os.com</t>
  </si>
  <si>
    <t xml:space="preserve">+254736431863 / </t>
  </si>
  <si>
    <t>INC202</t>
  </si>
  <si>
    <t>Incaps Africa Limited</t>
  </si>
  <si>
    <t>reuben@incapsafrica.com</t>
  </si>
  <si>
    <t>0721608254 / 0731608254</t>
  </si>
  <si>
    <t>INN200</t>
  </si>
  <si>
    <t>Innovative Computer Solutions ltd</t>
  </si>
  <si>
    <t>ken.ronoh@innovativecomputers.co.ke</t>
  </si>
  <si>
    <t>0721296360 / 0722892412</t>
  </si>
  <si>
    <t>INN201</t>
  </si>
  <si>
    <t>Innovine Limited</t>
  </si>
  <si>
    <t>info@innovineglobal.com</t>
  </si>
  <si>
    <t xml:space="preserve">0207864499 / </t>
  </si>
  <si>
    <t>INT201</t>
  </si>
  <si>
    <t>Intermass Technologies</t>
  </si>
  <si>
    <t>intermasstechnologies@gmail.com</t>
  </si>
  <si>
    <t>0721458106 / 020228574</t>
  </si>
  <si>
    <t>INT205</t>
  </si>
  <si>
    <t>INTELDATA NETWORKS LIMITED</t>
  </si>
  <si>
    <t>sogutu@inteldata.co.ke</t>
  </si>
  <si>
    <t>0718696892 / 0718696892</t>
  </si>
  <si>
    <t>IRT200</t>
  </si>
  <si>
    <t>Interactive Technology Ltd</t>
  </si>
  <si>
    <t>sales@itlweb.com</t>
  </si>
  <si>
    <t xml:space="preserve">0722695000 / </t>
  </si>
  <si>
    <t>ISA201</t>
  </si>
  <si>
    <t>Integrated Supplies &amp; Consultancy Ltd</t>
  </si>
  <si>
    <t>nigel@integratedsupplies.net</t>
  </si>
  <si>
    <t>ISK200</t>
  </si>
  <si>
    <t>INTERSOL KENYA LTD</t>
  </si>
  <si>
    <t>info@intersol.co.ke</t>
  </si>
  <si>
    <t xml:space="preserve">0771707889 / </t>
  </si>
  <si>
    <t>ISL205</t>
  </si>
  <si>
    <t>INTELLI SOLUTIONS LTD</t>
  </si>
  <si>
    <t>pinal@intellisolutions.co.ke</t>
  </si>
  <si>
    <t xml:space="preserve">254733924705 / </t>
  </si>
  <si>
    <t>ISM200</t>
  </si>
  <si>
    <t>ISMARWA INVESTMENTS LTD</t>
  </si>
  <si>
    <t>hope.maseki@ismarwa.co.ke</t>
  </si>
  <si>
    <t>0722335353 / 0722626705</t>
  </si>
  <si>
    <t>ISN201</t>
  </si>
  <si>
    <t>Intersys Connections</t>
  </si>
  <si>
    <t>info@intersysconnections.co.ke</t>
  </si>
  <si>
    <t>0723810034 / 0724137327</t>
  </si>
  <si>
    <t>ITA200</t>
  </si>
  <si>
    <t>Innovative Technologies Africa Ltd</t>
  </si>
  <si>
    <t>mgr@ital.co.ke</t>
  </si>
  <si>
    <t>254799529298 / 254701199795</t>
  </si>
  <si>
    <t>ITB201</t>
  </si>
  <si>
    <t>ITB Connect</t>
  </si>
  <si>
    <t>SALAAT@OUTLOOK.COM</t>
  </si>
  <si>
    <t xml:space="preserve">0714777300 / </t>
  </si>
  <si>
    <t>ITC201</t>
  </si>
  <si>
    <t>IT Cribz Solutions</t>
  </si>
  <si>
    <t>paul@itcribz.co.ke</t>
  </si>
  <si>
    <t xml:space="preserve">0724350383 / </t>
  </si>
  <si>
    <t>ITL200</t>
  </si>
  <si>
    <t>Intellitech limited</t>
  </si>
  <si>
    <t>intel.intellitech@gmail.com</t>
  </si>
  <si>
    <t>0728786014 / 0732786012</t>
  </si>
  <si>
    <t>ITL203</t>
  </si>
  <si>
    <t>Intelwise Technologies Ltd</t>
  </si>
  <si>
    <t>info@intelwisetechnologies.com</t>
  </si>
  <si>
    <t>0706357369 / 0726402344</t>
  </si>
  <si>
    <t>ITP200</t>
  </si>
  <si>
    <t>IntelPro Technologies</t>
  </si>
  <si>
    <t>intelpro.technologies@gmail.com</t>
  </si>
  <si>
    <t xml:space="preserve">722605356 / </t>
  </si>
  <si>
    <t>ITT200</t>
  </si>
  <si>
    <t>I T LAB LTD</t>
  </si>
  <si>
    <t>sales@itlab.co.ke</t>
  </si>
  <si>
    <t xml:space="preserve">0723103535 / </t>
  </si>
  <si>
    <t>IVL200</t>
  </si>
  <si>
    <t>INFOVIEW LTD</t>
  </si>
  <si>
    <t>muzamily@infoviewafrica.com</t>
  </si>
  <si>
    <t xml:space="preserve">254721236998 / </t>
  </si>
  <si>
    <t>JAC200</t>
  </si>
  <si>
    <t>Jaco Youth Consultancy Limited</t>
  </si>
  <si>
    <t>admin@jacoyouth.co.ke</t>
  </si>
  <si>
    <t>JAV201</t>
  </si>
  <si>
    <t>Javics Smartworld Kenya</t>
  </si>
  <si>
    <t>javicssmartworldkenya@gmail.com</t>
  </si>
  <si>
    <t>0713144131 / 0704606025</t>
  </si>
  <si>
    <t>JDS200</t>
  </si>
  <si>
    <t>Josatronic Data Systems Ltd</t>
  </si>
  <si>
    <t>Sales@josatronic.com</t>
  </si>
  <si>
    <t>0717982328 / 0720460220</t>
  </si>
  <si>
    <t>JIG200</t>
  </si>
  <si>
    <t>JIGSYS TECHNOLOGIES LIMITED</t>
  </si>
  <si>
    <t>timothy.mungoma@jigsystechnologies.com</t>
  </si>
  <si>
    <t>0723729842 / 0723680196</t>
  </si>
  <si>
    <t>JKV200</t>
  </si>
  <si>
    <t>Jerkev Digitech Hub</t>
  </si>
  <si>
    <t>jerkevdigitech@gmail.com</t>
  </si>
  <si>
    <t xml:space="preserve">0711954029 / </t>
  </si>
  <si>
    <t>JOM200</t>
  </si>
  <si>
    <t>JOMAFRIC CONSTRUCTION AND GENERAL SUPPLIES LIMITED</t>
  </si>
  <si>
    <t>info@jomafric.co.ke</t>
  </si>
  <si>
    <t>0717049898 / 0704866613</t>
  </si>
  <si>
    <t>JON200</t>
  </si>
  <si>
    <t>Jonatech Systems</t>
  </si>
  <si>
    <t>jonatechme@gmail.com</t>
  </si>
  <si>
    <t xml:space="preserve">0724756996 / </t>
  </si>
  <si>
    <t>JUN201</t>
  </si>
  <si>
    <t>JUNIPER INTAKES LIMITED</t>
  </si>
  <si>
    <t>pmugereki@juniper-intakes.com</t>
  </si>
  <si>
    <t>0202001446 / 0722539182</t>
  </si>
  <si>
    <t>JWL200</t>
  </si>
  <si>
    <t>JO World Agencies Ltd</t>
  </si>
  <si>
    <t>eric@joworld.co.ke</t>
  </si>
  <si>
    <t>KAR201</t>
  </si>
  <si>
    <t>KAROTECH SERVICES LIMITED</t>
  </si>
  <si>
    <t>info@karotech.co.ke</t>
  </si>
  <si>
    <t xml:space="preserve">254723828600 / </t>
  </si>
  <si>
    <t>KBE200</t>
  </si>
  <si>
    <t>KIMBITECH ENTERPRISES AND GENERAL SUPPLIES</t>
  </si>
  <si>
    <t>kimbitechenterprises@gmail.com</t>
  </si>
  <si>
    <t>0722945215 / 0782945215</t>
  </si>
  <si>
    <t>KCL200</t>
  </si>
  <si>
    <t>knots Computers Ltd</t>
  </si>
  <si>
    <t>knots@kenyaweb.com</t>
  </si>
  <si>
    <t>0720826466 / 0722301419</t>
  </si>
  <si>
    <t>KCM200</t>
  </si>
  <si>
    <t>KCML Technologies and Supplies Ltd</t>
  </si>
  <si>
    <t>kkisilu@kcmltechnologies.com</t>
  </si>
  <si>
    <t xml:space="preserve">0724256867 / </t>
  </si>
  <si>
    <t>KEL200</t>
  </si>
  <si>
    <t>KingFin Enterprise Limited</t>
  </si>
  <si>
    <t>info@kingfin.net</t>
  </si>
  <si>
    <t>0733862080 / 0711862080</t>
  </si>
  <si>
    <t>KEN202</t>
  </si>
  <si>
    <t>KENKANA ENTERPRISES</t>
  </si>
  <si>
    <t>jacobmutegi@gmail.com</t>
  </si>
  <si>
    <t>0724239816 / 0710659277</t>
  </si>
  <si>
    <t>KEV200</t>
  </si>
  <si>
    <t>KEVIAN TECHNOLOGIES</t>
  </si>
  <si>
    <t>keviantechnologies@gmail.com</t>
  </si>
  <si>
    <t>0733558893 / 0722866740</t>
  </si>
  <si>
    <t>KHU200</t>
  </si>
  <si>
    <t>KHUOMCY LIMITED</t>
  </si>
  <si>
    <t>akkahama@khuomcy.co.ke</t>
  </si>
  <si>
    <t>0736082583 / 0727342492</t>
  </si>
  <si>
    <t>KIL201</t>
  </si>
  <si>
    <t>Kirvam International Ltd</t>
  </si>
  <si>
    <t>amos@kirvam.com</t>
  </si>
  <si>
    <t>0772422890 / 0726738294</t>
  </si>
  <si>
    <t>KIL202</t>
  </si>
  <si>
    <t>Kilimall International Ltd</t>
  </si>
  <si>
    <t>silas.musyoka@kilimall.com</t>
  </si>
  <si>
    <t>0793854066 / 0700132406</t>
  </si>
  <si>
    <t>KML200</t>
  </si>
  <si>
    <t>Klique Marketing</t>
  </si>
  <si>
    <t>mukoran@klique.co.ke</t>
  </si>
  <si>
    <t>KNL200</t>
  </si>
  <si>
    <t>KLIGHT NETWORKS LTD</t>
  </si>
  <si>
    <t>klightke@gmail.com</t>
  </si>
  <si>
    <t xml:space="preserve">0722232882 / </t>
  </si>
  <si>
    <t>KOR200</t>
  </si>
  <si>
    <t>KORANDU LTD</t>
  </si>
  <si>
    <t>chris@korandu.com</t>
  </si>
  <si>
    <t xml:space="preserve">0722834115 / </t>
  </si>
  <si>
    <t>KPW200</t>
  </si>
  <si>
    <t>Kings Paper Works ltd</t>
  </si>
  <si>
    <t>steve@kingspaperworks.com</t>
  </si>
  <si>
    <t>0727943156 / 0791802304</t>
  </si>
  <si>
    <t>KRI200</t>
  </si>
  <si>
    <t>Kristel Communications Ltd</t>
  </si>
  <si>
    <t>ben.obinju@kristel.co.ke</t>
  </si>
  <si>
    <t xml:space="preserve">0714861399 / </t>
  </si>
  <si>
    <t>KSC200</t>
  </si>
  <si>
    <t>Kipepeo Solutions Co. Ltd</t>
  </si>
  <si>
    <t>melvin@kipepeosolutions.co.ke</t>
  </si>
  <si>
    <t>0734164321 / 0772763650</t>
  </si>
  <si>
    <t>KYL200</t>
  </si>
  <si>
    <t>Kylma Solutions Ltd</t>
  </si>
  <si>
    <t>carol@kylmasolutions.com</t>
  </si>
  <si>
    <t>0734244456 / +254734244456</t>
  </si>
  <si>
    <t>LAU200</t>
  </si>
  <si>
    <t>Launch Pad Compamy Limited</t>
  </si>
  <si>
    <t>tom.chumbi@thelaunchpadcompany.com</t>
  </si>
  <si>
    <t>0722405779 / 0202388162</t>
  </si>
  <si>
    <t>LEA200</t>
  </si>
  <si>
    <t>Linkmatics East Africa Ltd</t>
  </si>
  <si>
    <t>info@linkmaticsea.co.ke</t>
  </si>
  <si>
    <t>254721488500 / 0780425839</t>
  </si>
  <si>
    <t>LEL205</t>
  </si>
  <si>
    <t>LEXCOM ENGINEERING LTD</t>
  </si>
  <si>
    <t>abubakar@lexcomeng.com</t>
  </si>
  <si>
    <t>0722762360 / 0711911595</t>
  </si>
  <si>
    <t>LEN201</t>
  </si>
  <si>
    <t>Lensic Investments Limited</t>
  </si>
  <si>
    <t>sales@lensic.net</t>
  </si>
  <si>
    <t xml:space="preserve">254725146937 / </t>
  </si>
  <si>
    <t>LEV201</t>
  </si>
  <si>
    <t>LEVIT INNOVATIONS</t>
  </si>
  <si>
    <t>pkageche@levit.co.ke</t>
  </si>
  <si>
    <t xml:space="preserve">0725514997 / </t>
  </si>
  <si>
    <t>LGS205</t>
  </si>
  <si>
    <t>LENOX GENERAL SUPPLIES</t>
  </si>
  <si>
    <t>lenoxgensupplies@gmail.com</t>
  </si>
  <si>
    <t>LIK201</t>
  </si>
  <si>
    <t>Likan Computers</t>
  </si>
  <si>
    <t>sales@likancomputers.co.ke</t>
  </si>
  <si>
    <t>00726868653 / 0726868653</t>
  </si>
  <si>
    <t>LIT201</t>
  </si>
  <si>
    <t>LITES</t>
  </si>
  <si>
    <t>info@lites.co.ke</t>
  </si>
  <si>
    <t>0725354371 / 0723243483</t>
  </si>
  <si>
    <t>LMB200</t>
  </si>
  <si>
    <t>Lambo Suppliers Ltd</t>
  </si>
  <si>
    <t>supplieslambo@gmail.com</t>
  </si>
  <si>
    <t xml:space="preserve">0713330921 / </t>
  </si>
  <si>
    <t>LOG201</t>
  </si>
  <si>
    <t>LogIT Systems</t>
  </si>
  <si>
    <t>joe.kimani@logitsystems.co.ke</t>
  </si>
  <si>
    <t>0720557270 / 0705777588</t>
  </si>
  <si>
    <t>LTB200</t>
  </si>
  <si>
    <t>LITEBLUE BUSINESS SOLUTIONS</t>
  </si>
  <si>
    <t>nixon@liteblue.co.ke</t>
  </si>
  <si>
    <t xml:space="preserve">0722243987 / </t>
  </si>
  <si>
    <t>LTC201</t>
  </si>
  <si>
    <t>Luxor Technology &amp; Consultancy Ltd</t>
  </si>
  <si>
    <t>info@luxortech.co.ke</t>
  </si>
  <si>
    <t>0746622437 / 0723152157</t>
  </si>
  <si>
    <t>LTG200</t>
  </si>
  <si>
    <t>Lotex Technologies</t>
  </si>
  <si>
    <t>info@lotextechnologies.com</t>
  </si>
  <si>
    <t>0721584822 / 0202053444</t>
  </si>
  <si>
    <t>LVA211</t>
  </si>
  <si>
    <t>Lucent-Virtuoso &amp; Allied Group LLC</t>
  </si>
  <si>
    <t>admin1@lucentvirtuoso.com</t>
  </si>
  <si>
    <t xml:space="preserve">0202582582 / </t>
  </si>
  <si>
    <t>MAL200</t>
  </si>
  <si>
    <t>Manam Limited</t>
  </si>
  <si>
    <t>info@manamltd.co.ke</t>
  </si>
  <si>
    <t>0701069360 / 0701069360</t>
  </si>
  <si>
    <t>MAL205</t>
  </si>
  <si>
    <t>MAPSOFT AFRICA LIMITED</t>
  </si>
  <si>
    <t>Tom.Mboya@mapsoftafrica.co.ke</t>
  </si>
  <si>
    <t>MAR202</t>
  </si>
  <si>
    <t>Marmutech Enterprises</t>
  </si>
  <si>
    <t>mdianalydia@yahoo.com</t>
  </si>
  <si>
    <t>0716583180 / 0714304677</t>
  </si>
  <si>
    <t>MAT201</t>
  </si>
  <si>
    <t>Matteh limited</t>
  </si>
  <si>
    <t>mattehltd@gmail.com</t>
  </si>
  <si>
    <t xml:space="preserve">254717691117 / </t>
  </si>
  <si>
    <t>MAV201</t>
  </si>
  <si>
    <t>Marvel Africa Agencies</t>
  </si>
  <si>
    <t>george@marvelafrica.co.ke</t>
  </si>
  <si>
    <t xml:space="preserve">0718981278 / </t>
  </si>
  <si>
    <t>MAX201</t>
  </si>
  <si>
    <t>MAXIDER LIMITED</t>
  </si>
  <si>
    <t>info@maxider.co.ke</t>
  </si>
  <si>
    <t>254786521002 / 254722384423</t>
  </si>
  <si>
    <t>MCR200</t>
  </si>
  <si>
    <t>Microstation</t>
  </si>
  <si>
    <t>microstation.k@gmail.com</t>
  </si>
  <si>
    <t>0722711162 / 0722711162</t>
  </si>
  <si>
    <t>MDB200</t>
  </si>
  <si>
    <t>MayDell Business Systems Ltd</t>
  </si>
  <si>
    <t>info@maydellbs.net</t>
  </si>
  <si>
    <t xml:space="preserve">0719719683 / </t>
  </si>
  <si>
    <t>MEL203</t>
  </si>
  <si>
    <t>MAHEK ELECTRICALS LTD</t>
  </si>
  <si>
    <t>amin@mahekelectrical.com</t>
  </si>
  <si>
    <t>0721208208 / 0733208208</t>
  </si>
  <si>
    <t>MEX200</t>
  </si>
  <si>
    <t>Mexipro General Suppliers</t>
  </si>
  <si>
    <t>info@mexipro.co.ke</t>
  </si>
  <si>
    <t xml:space="preserve">0727984129 / </t>
  </si>
  <si>
    <t>MGL200</t>
  </si>
  <si>
    <t>MARVLINNE GROUP LIMITED</t>
  </si>
  <si>
    <t>runomarvin@gmail.com</t>
  </si>
  <si>
    <t xml:space="preserve">0715222860 / </t>
  </si>
  <si>
    <t>MGN200</t>
  </si>
  <si>
    <t>Magnatec Solutions Ltd</t>
  </si>
  <si>
    <t>punil.patel@magnatec-solutions.com</t>
  </si>
  <si>
    <t>0705290323 / 0722918171</t>
  </si>
  <si>
    <t>MIB202</t>
  </si>
  <si>
    <t>Modern Integrated Business Solution Ltd</t>
  </si>
  <si>
    <t>informmibs@gmail.com</t>
  </si>
  <si>
    <t>0725204683 / 0721987223</t>
  </si>
  <si>
    <t>MIC00</t>
  </si>
  <si>
    <t>Microlink solutions</t>
  </si>
  <si>
    <t>info@microlink.co.ke</t>
  </si>
  <si>
    <t>0724506001 / 0725140150</t>
  </si>
  <si>
    <t>MIC200</t>
  </si>
  <si>
    <t>Microskills I.T. Kenya Ltd</t>
  </si>
  <si>
    <t>Sales.NBI@mit.co.ke</t>
  </si>
  <si>
    <t>0208155427 / 0208155427</t>
  </si>
  <si>
    <t>MIC205</t>
  </si>
  <si>
    <t>Mickmart Computer Systems Ltd</t>
  </si>
  <si>
    <t>sales@mickmart.com</t>
  </si>
  <si>
    <t xml:space="preserve">0733808877 / </t>
  </si>
  <si>
    <t>MKC200</t>
  </si>
  <si>
    <t>Marksonic Computers</t>
  </si>
  <si>
    <t>marksonictech@yahoo.com</t>
  </si>
  <si>
    <t>0724623664 / 0721671700</t>
  </si>
  <si>
    <t>MLA200</t>
  </si>
  <si>
    <t>Message Labs Africa Limited</t>
  </si>
  <si>
    <t>kelvin.kibuchi@ke.msgafrica.com</t>
  </si>
  <si>
    <t>0203569132 / 0725808889</t>
  </si>
  <si>
    <t>MNG200</t>
  </si>
  <si>
    <t>MANAGE IT LTD</t>
  </si>
  <si>
    <t>gidraph.irungu@manageitafrica.com</t>
  </si>
  <si>
    <t>0720026632 / 0707855866</t>
  </si>
  <si>
    <t>MOF200</t>
  </si>
  <si>
    <t>Maruti Office Supplies ltd</t>
  </si>
  <si>
    <t>purchasing@marutios.com</t>
  </si>
  <si>
    <t>0771217428 / 0736552235</t>
  </si>
  <si>
    <t>MOR201</t>
  </si>
  <si>
    <t>Morax Trading Ltd</t>
  </si>
  <si>
    <t>moraxtradingke@gmail.com</t>
  </si>
  <si>
    <t>0721371196 / 0721882252</t>
  </si>
  <si>
    <t>MPL200</t>
  </si>
  <si>
    <t>Megaplus Africa Ltd</t>
  </si>
  <si>
    <t>steve.biko@megaplus.co.ke</t>
  </si>
  <si>
    <t>0707668749 / 0776199109</t>
  </si>
  <si>
    <t>MPS100</t>
  </si>
  <si>
    <t>Mackphilisa Computer Systems</t>
  </si>
  <si>
    <t>info@mcs.co.ke</t>
  </si>
  <si>
    <t xml:space="preserve">0724945600 / </t>
  </si>
  <si>
    <t>MSL201</t>
  </si>
  <si>
    <t>Merge Systems Limited</t>
  </si>
  <si>
    <t>gngui@merge.co.ke</t>
  </si>
  <si>
    <t xml:space="preserve">0722738236 / </t>
  </si>
  <si>
    <t>MSY200</t>
  </si>
  <si>
    <t>Micronet Power Systems limited</t>
  </si>
  <si>
    <t>info@micronetpowersystem.com</t>
  </si>
  <si>
    <t>254722776883 / 254722776883</t>
  </si>
  <si>
    <t>MTC201</t>
  </si>
  <si>
    <t>Metsec Cables Ltd</t>
  </si>
  <si>
    <t>ajay@msa.doshigroup.com</t>
  </si>
  <si>
    <t>0722415001 / 0735574545</t>
  </si>
  <si>
    <t>MTL201</t>
  </si>
  <si>
    <t>Mitacode Technologies</t>
  </si>
  <si>
    <t>michaeln@mitacode.co.ke</t>
  </si>
  <si>
    <t xml:space="preserve">0723454247 / </t>
  </si>
  <si>
    <t>MTS205</t>
  </si>
  <si>
    <t>MITAMBO TECH SERVICES LTD</t>
  </si>
  <si>
    <t>info@mitambotechservices.com</t>
  </si>
  <si>
    <t>0722856729 / 0780700729</t>
  </si>
  <si>
    <t>MWK200</t>
  </si>
  <si>
    <t>Mobile World K Ltd</t>
  </si>
  <si>
    <t>sylvanus@mobileworld.co.ke</t>
  </si>
  <si>
    <t xml:space="preserve">0722376383 / </t>
  </si>
  <si>
    <t>NAH200</t>
  </si>
  <si>
    <t>Noor Al Hayat Ltd</t>
  </si>
  <si>
    <t>sales@noorah.co.ke</t>
  </si>
  <si>
    <t>0204343466 / 0721737480</t>
  </si>
  <si>
    <t>NAT200</t>
  </si>
  <si>
    <t>New Age Telecommunications Limited</t>
  </si>
  <si>
    <t>tmaina@newage.co.ke</t>
  </si>
  <si>
    <t>0722800431 / 0733349080</t>
  </si>
  <si>
    <t>NBU200</t>
  </si>
  <si>
    <t>Net Burst Sols</t>
  </si>
  <si>
    <t>netburstsolutions@gmail.com</t>
  </si>
  <si>
    <t xml:space="preserve">0723309807 / </t>
  </si>
  <si>
    <t>NDS201</t>
  </si>
  <si>
    <t>Netcom Data Solutions Limited</t>
  </si>
  <si>
    <t>suleiman@netcomdatasolutions.com</t>
  </si>
  <si>
    <t xml:space="preserve">0790180000 / </t>
  </si>
  <si>
    <t>NDS205</t>
  </si>
  <si>
    <t>Nextgen digital solutions</t>
  </si>
  <si>
    <t>oduorpa@nextgendigital.co.ke</t>
  </si>
  <si>
    <t>0711330132 / 0733330132</t>
  </si>
  <si>
    <t>NED200</t>
  </si>
  <si>
    <t>Net Edge Business Ltd</t>
  </si>
  <si>
    <t>info@netedgeit.co.ke</t>
  </si>
  <si>
    <t xml:space="preserve">0721946300 / </t>
  </si>
  <si>
    <t>NEI200</t>
  </si>
  <si>
    <t>NATIONWIDE ELECTRICAL INDUSTRIES</t>
  </si>
  <si>
    <t>clayton@neiltd.com</t>
  </si>
  <si>
    <t xml:space="preserve">0723824248 / </t>
  </si>
  <si>
    <t>NEL205</t>
  </si>
  <si>
    <t>NATMARK ENTERPRISES LIMITED</t>
  </si>
  <si>
    <t>natmarkenterprisesltd@gmail.com</t>
  </si>
  <si>
    <t xml:space="preserve">0724222221 / </t>
  </si>
  <si>
    <t>NEO201</t>
  </si>
  <si>
    <t>Neotech ICT Solutions Ltd</t>
  </si>
  <si>
    <t>sales@neotech-ict.com</t>
  </si>
  <si>
    <t>0721999440 / 0724852641</t>
  </si>
  <si>
    <t>NGL205</t>
  </si>
  <si>
    <t>24NETWORKS GLOBAL LIMTIED</t>
  </si>
  <si>
    <t>sales@247-africa.tech</t>
  </si>
  <si>
    <t>254738692764 / 254777224747</t>
  </si>
  <si>
    <t>NHN200</t>
  </si>
  <si>
    <t>NHN Solutions Ltd</t>
  </si>
  <si>
    <t>nandakishore@nhnsolutions.com</t>
  </si>
  <si>
    <t xml:space="preserve">0738410470 / </t>
  </si>
  <si>
    <t>NIS200</t>
  </si>
  <si>
    <t>Netcom IT Solutions Ltd</t>
  </si>
  <si>
    <t>ekoome@netcomsolutions.co.ke</t>
  </si>
  <si>
    <t>0720416815 / 0723750922</t>
  </si>
  <si>
    <t>NTE200</t>
  </si>
  <si>
    <t>Novel Technologies Ltd</t>
  </si>
  <si>
    <t>marvin@novel.co.ke</t>
  </si>
  <si>
    <t xml:space="preserve">0710259403 / </t>
  </si>
  <si>
    <t>NTW200</t>
  </si>
  <si>
    <t>Netware Services Limited</t>
  </si>
  <si>
    <t>sales@netware.co.ke</t>
  </si>
  <si>
    <t xml:space="preserve">0770148633 / </t>
  </si>
  <si>
    <t>NYA200</t>
  </si>
  <si>
    <t>Naya Solution Ltd</t>
  </si>
  <si>
    <t>josh@naya.co.ke</t>
  </si>
  <si>
    <t>0732222029 / 0735999600</t>
  </si>
  <si>
    <t>OCK200</t>
  </si>
  <si>
    <t>OVERDRIVE CONSULTANTS (K) LTD</t>
  </si>
  <si>
    <t>k.devani@odc.co.ke</t>
  </si>
  <si>
    <t>254722410275 / 254724794817</t>
  </si>
  <si>
    <t>ODL200</t>
  </si>
  <si>
    <t>OpenData limited</t>
  </si>
  <si>
    <t>sales@opendataltd.com</t>
  </si>
  <si>
    <t xml:space="preserve">0722811460 / </t>
  </si>
  <si>
    <t>ODV205</t>
  </si>
  <si>
    <t>ONE DVTECH LIMITED</t>
  </si>
  <si>
    <t>info@onedvtech.com</t>
  </si>
  <si>
    <t>OFF200</t>
  </si>
  <si>
    <t>Office Technologies Ltd</t>
  </si>
  <si>
    <t>otl_sales20@officetechnologies.co.ke</t>
  </si>
  <si>
    <t xml:space="preserve">0722496084 / </t>
  </si>
  <si>
    <t>OMT205</t>
  </si>
  <si>
    <t>OM IT DISTRIBUTION LIMITED</t>
  </si>
  <si>
    <t>omitdistribution@gmail.com</t>
  </si>
  <si>
    <t>0732796753 / 0722540353</t>
  </si>
  <si>
    <t>OMX200</t>
  </si>
  <si>
    <t>OfficeMax Limited</t>
  </si>
  <si>
    <t>j.ikunza@officemaxltd.com</t>
  </si>
  <si>
    <t>0722874280 / 0780512488</t>
  </si>
  <si>
    <t>OPC200</t>
  </si>
  <si>
    <t>OPEN CUBE ENTERPRISES</t>
  </si>
  <si>
    <t>fahreenk@opencube.co.ke</t>
  </si>
  <si>
    <t>0721548138 / 0721548138</t>
  </si>
  <si>
    <t>OPN201</t>
  </si>
  <si>
    <t>Opensol ltd</t>
  </si>
  <si>
    <t>evans@opensol.co.ke</t>
  </si>
  <si>
    <t>0722783612 / 0739</t>
  </si>
  <si>
    <t>OSL201</t>
  </si>
  <si>
    <t>OS Labs Company Ltd</t>
  </si>
  <si>
    <t>fmugambi@oslabs-ke.com</t>
  </si>
  <si>
    <t>0720541206 / 0202324822</t>
  </si>
  <si>
    <t>OSL205</t>
  </si>
  <si>
    <t>OLEANDER SOLUTIONS LIMITED</t>
  </si>
  <si>
    <t>vincent@oleandersolutions.co.ke</t>
  </si>
  <si>
    <t xml:space="preserve">0787633524 / </t>
  </si>
  <si>
    <t>OSL207</t>
  </si>
  <si>
    <t>OSIL LIMITED</t>
  </si>
  <si>
    <t>silvia@osilltd.co.ke</t>
  </si>
  <si>
    <t>0700650991 / 0722246318</t>
  </si>
  <si>
    <t>OWT200</t>
  </si>
  <si>
    <t>One World Technology Ltd</t>
  </si>
  <si>
    <t>oneworldtech09@gmail.com</t>
  </si>
  <si>
    <t>0722855670 / 0722114457</t>
  </si>
  <si>
    <t>PAF200</t>
  </si>
  <si>
    <t>Pafè Technology</t>
  </si>
  <si>
    <t>sales@pafe.co.ke</t>
  </si>
  <si>
    <t>0715743305 / 0729608407</t>
  </si>
  <si>
    <t>PAL205</t>
  </si>
  <si>
    <t>Pong Agencies Ltd</t>
  </si>
  <si>
    <t>denis@pongafrica.com</t>
  </si>
  <si>
    <t>0727877484 / 0727877484</t>
  </si>
  <si>
    <t>PAR201</t>
  </si>
  <si>
    <t>3par technology company ltd</t>
  </si>
  <si>
    <t>wesleyd@3par.co.ke</t>
  </si>
  <si>
    <t>0710866513 / 2026349</t>
  </si>
  <si>
    <t>PBY200</t>
  </si>
  <si>
    <t>PURPLE BERRY VENTURES</t>
  </si>
  <si>
    <t>info@purpleberryventures.com</t>
  </si>
  <si>
    <t xml:space="preserve">0720245839 / </t>
  </si>
  <si>
    <t>PCE200</t>
  </si>
  <si>
    <t>PRINT CITI ENTERPRISE</t>
  </si>
  <si>
    <t>chepkoechcc@printciti.co.ke</t>
  </si>
  <si>
    <t>0208000336 / 0777308400</t>
  </si>
  <si>
    <t>PCL202</t>
  </si>
  <si>
    <t>Protech Concepts Limited</t>
  </si>
  <si>
    <t>george@protechconcepts.co.ke</t>
  </si>
  <si>
    <t xml:space="preserve">0720692433 / 0731361118 </t>
  </si>
  <si>
    <t>PEK200</t>
  </si>
  <si>
    <t>Planning Entrada Kenya Limited</t>
  </si>
  <si>
    <t>dennis@entrada.co.ke</t>
  </si>
  <si>
    <t>0720402336 / 0720402336</t>
  </si>
  <si>
    <t>PEL200</t>
  </si>
  <si>
    <t>pelsom Enterprises ltd</t>
  </si>
  <si>
    <t>nicknjoroge.nganga@gmail.com</t>
  </si>
  <si>
    <t xml:space="preserve">0722791785 / </t>
  </si>
  <si>
    <t>PEM205</t>
  </si>
  <si>
    <t>PEACE OF MIND TRADE LIMITED</t>
  </si>
  <si>
    <t>info@peaceofmind.co.ke</t>
  </si>
  <si>
    <t>0705898001 / 0798673787</t>
  </si>
  <si>
    <t>PEN200</t>
  </si>
  <si>
    <t>PENTIUM SYSTEMS LIMITED</t>
  </si>
  <si>
    <t>victor@pentiumsystems.co.ke</t>
  </si>
  <si>
    <t xml:space="preserve">0722799565 / </t>
  </si>
  <si>
    <t>PEN201</t>
  </si>
  <si>
    <t>Pentech ltd</t>
  </si>
  <si>
    <t>patrick@pentech.co.ke</t>
  </si>
  <si>
    <t>0722875933 / 0722632009</t>
  </si>
  <si>
    <t>PGS200</t>
  </si>
  <si>
    <t>P.G Security Ltd</t>
  </si>
  <si>
    <t>kavit@pgsecurity.org</t>
  </si>
  <si>
    <t>PIL201</t>
  </si>
  <si>
    <t>Pluton ICT Ltd</t>
  </si>
  <si>
    <t>info@pluton-ict.com</t>
  </si>
  <si>
    <t>0202241759 / 0720244848</t>
  </si>
  <si>
    <t>PLA200</t>
  </si>
  <si>
    <t>Plantech Agencies ltd</t>
  </si>
  <si>
    <t>info@plantech.co.ke</t>
  </si>
  <si>
    <t>254202396166 / 0733612095</t>
  </si>
  <si>
    <t>PLW200</t>
  </si>
  <si>
    <t>PALWAT TECHNOLOGY</t>
  </si>
  <si>
    <t>kibugijohnmwangi@gmail.com</t>
  </si>
  <si>
    <t>254705306552 / 254736050986</t>
  </si>
  <si>
    <t>PNL200</t>
  </si>
  <si>
    <t>PROACTIVE NETWORKS LTD</t>
  </si>
  <si>
    <t>info@proactiventw.com</t>
  </si>
  <si>
    <t>0202022502 / 0725665991</t>
  </si>
  <si>
    <t>POM200</t>
  </si>
  <si>
    <t>POMPEY COMMUNICATIONS</t>
  </si>
  <si>
    <t>kevin.gikanga@gmail.com</t>
  </si>
  <si>
    <t>0710508472 / 0721669423</t>
  </si>
  <si>
    <t>PRA200</t>
  </si>
  <si>
    <t>Prayosha Agency Limited</t>
  </si>
  <si>
    <t>darshanharshad@gmail.com</t>
  </si>
  <si>
    <t>0705141160 / 0731831160</t>
  </si>
  <si>
    <t>PRO200</t>
  </si>
  <si>
    <t>Prodigy Technologies</t>
  </si>
  <si>
    <t>dmuraguri@prodigy.co.ke</t>
  </si>
  <si>
    <t>0722636627 / 0205259332</t>
  </si>
  <si>
    <t>PSK200</t>
  </si>
  <si>
    <t>PRORISK SOLUTIONS KENYA LTD</t>
  </si>
  <si>
    <t>sohel@prorisk.co.ke</t>
  </si>
  <si>
    <t>0733500786 / 0711634700</t>
  </si>
  <si>
    <t>PTC200</t>
  </si>
  <si>
    <t>Pechant Telec</t>
  </si>
  <si>
    <t>charles@pechanttelec.co.ke</t>
  </si>
  <si>
    <t xml:space="preserve">0723910182 / </t>
  </si>
  <si>
    <t>PTL200</t>
  </si>
  <si>
    <t>PLATINUM ASSOCIATES</t>
  </si>
  <si>
    <t>hello@platinum-afrika.co.ke</t>
  </si>
  <si>
    <t>0777515585 / 0726515585</t>
  </si>
  <si>
    <t>PTL201</t>
  </si>
  <si>
    <t>Profound Technologies Limited</t>
  </si>
  <si>
    <t>info@ptl.co.ke</t>
  </si>
  <si>
    <t>254733270786 / 254704326240</t>
  </si>
  <si>
    <t>PTT200</t>
  </si>
  <si>
    <t>Primetech Trading Limited</t>
  </si>
  <si>
    <t>alammarysaleh@gmail.com</t>
  </si>
  <si>
    <t xml:space="preserve">0733267101 / </t>
  </si>
  <si>
    <t>PWD200</t>
  </si>
  <si>
    <t>Pwani Datacare</t>
  </si>
  <si>
    <t>pwanidatacare@gmail.com</t>
  </si>
  <si>
    <t>0722956070 / 0733231811</t>
  </si>
  <si>
    <t>QSL200</t>
  </si>
  <si>
    <t>Quicksoft solutions ltd</t>
  </si>
  <si>
    <t>info@quicksoft.co.ke</t>
  </si>
  <si>
    <t>0703548710 / 0780548710</t>
  </si>
  <si>
    <t>RANI200</t>
  </si>
  <si>
    <t>RANI AFRICA DISTRIBUTION LIMITED</t>
  </si>
  <si>
    <t>stephen@raniafrica.com</t>
  </si>
  <si>
    <t>0750294424 / 0725801628</t>
  </si>
  <si>
    <t>RAY200</t>
  </si>
  <si>
    <t>Raystar Solutions Limited</t>
  </si>
  <si>
    <t>rehana@raystar.co.ke</t>
  </si>
  <si>
    <t>0708855540 / 0708700365</t>
  </si>
  <si>
    <t>RDK201</t>
  </si>
  <si>
    <t>Raidka Investments Limited</t>
  </si>
  <si>
    <t>raidka.investments@gmail.com</t>
  </si>
  <si>
    <t>0717779741 / 0741864327</t>
  </si>
  <si>
    <t>REE200</t>
  </si>
  <si>
    <t>Reelforge Systems Limited</t>
  </si>
  <si>
    <t>dennis.kiplagat@reelforge.com</t>
  </si>
  <si>
    <t>0727837087 / 0202372965/6</t>
  </si>
  <si>
    <t>REE201</t>
  </si>
  <si>
    <t>Reem Trading and General Supplies</t>
  </si>
  <si>
    <t>reemtrading2018@gmail.com</t>
  </si>
  <si>
    <t xml:space="preserve">0741029966 / </t>
  </si>
  <si>
    <t>RSL200</t>
  </si>
  <si>
    <t>Red Systems</t>
  </si>
  <si>
    <t>sales@redsit.net</t>
  </si>
  <si>
    <t>0772766704 / 0720854675</t>
  </si>
  <si>
    <t>RSL205</t>
  </si>
  <si>
    <t>Red Spark Limited- (HIK VISION)</t>
  </si>
  <si>
    <t>anand@redspark.co.ke</t>
  </si>
  <si>
    <t>0736440377 / 0717316886</t>
  </si>
  <si>
    <t>RTL200</t>
  </si>
  <si>
    <t>Read Technologies Limited</t>
  </si>
  <si>
    <t>info@readtechnologies.co.ke</t>
  </si>
  <si>
    <t>0722756175 / 0703131811</t>
  </si>
  <si>
    <t>RTL202</t>
  </si>
  <si>
    <t>Rohan Technologies Limited</t>
  </si>
  <si>
    <t>info@rohan.co.ke</t>
  </si>
  <si>
    <t xml:space="preserve">0725665979 / </t>
  </si>
  <si>
    <t>RUB200</t>
  </si>
  <si>
    <t>RUBONE LIMITED</t>
  </si>
  <si>
    <t>info@rubone.biz</t>
  </si>
  <si>
    <t xml:space="preserve">0722802559 / </t>
  </si>
  <si>
    <t>RUB202</t>
  </si>
  <si>
    <t>Rubicon Trading</t>
  </si>
  <si>
    <t>info@rubicongroup.co.ke</t>
  </si>
  <si>
    <t>0722395458 / 0710144718</t>
  </si>
  <si>
    <t>RYA200</t>
  </si>
  <si>
    <t>RYANTEL SYSTEMS LIMITED</t>
  </si>
  <si>
    <t>robinsonl@ryantelsystems.com</t>
  </si>
  <si>
    <t>254713577157 / 254733577158</t>
  </si>
  <si>
    <t>S0L200</t>
  </si>
  <si>
    <t>Soin Enterprises Limited</t>
  </si>
  <si>
    <t>GLADYS.CHEBETM@GMAIL.COM</t>
  </si>
  <si>
    <t>0712121789 / 0783522879</t>
  </si>
  <si>
    <t>SAG200</t>
  </si>
  <si>
    <t>SAGEMCOM KENYA LTD</t>
  </si>
  <si>
    <t>lorna.kendi@sagemcom-kenya.com</t>
  </si>
  <si>
    <t>0740635640 / 0729246480</t>
  </si>
  <si>
    <t>SAJ201</t>
  </si>
  <si>
    <t>SAJ Enterprises Ltd</t>
  </si>
  <si>
    <t>aparmar@saj.co.ke</t>
  </si>
  <si>
    <t xml:space="preserve">+254712252747 / </t>
  </si>
  <si>
    <t>SAS200</t>
  </si>
  <si>
    <t>Sight and Sound Computers Ltd</t>
  </si>
  <si>
    <t>rakesh@sightsoundke.com</t>
  </si>
  <si>
    <t>0733521618 / 0722521618</t>
  </si>
  <si>
    <t>SCK200</t>
  </si>
  <si>
    <t>Sumo Computers</t>
  </si>
  <si>
    <t>sumo@sumocomputers.net</t>
  </si>
  <si>
    <t>0791595962 / 0723136070</t>
  </si>
  <si>
    <t>SCK205</t>
  </si>
  <si>
    <t>SINGLE CONCEPT KENYA</t>
  </si>
  <si>
    <t>mwaura9@gmail.com</t>
  </si>
  <si>
    <t>0773300300 / 0772666888</t>
  </si>
  <si>
    <t>SCN200</t>
  </si>
  <si>
    <t>Secure Communication Networks Kenya Ltd</t>
  </si>
  <si>
    <t>cyril.oluoch@securenetworks.co.ke</t>
  </si>
  <si>
    <t>0731000110 / 0722202964</t>
  </si>
  <si>
    <t>SCS201</t>
  </si>
  <si>
    <t>Addax Systems</t>
  </si>
  <si>
    <t>addaxsystems@gmail.com</t>
  </si>
  <si>
    <t xml:space="preserve">0722269321 / </t>
  </si>
  <si>
    <t>SCSL20</t>
  </si>
  <si>
    <t>ScienceScope Limited</t>
  </si>
  <si>
    <t>info@sciencescope.co.ke</t>
  </si>
  <si>
    <t>0722 202136  / 0733 600428</t>
  </si>
  <si>
    <t>SDL201</t>
  </si>
  <si>
    <t>Silicon Distribution Limited</t>
  </si>
  <si>
    <t>sales@silicondistribution.com</t>
  </si>
  <si>
    <t>0719333669 / 0721535228</t>
  </si>
  <si>
    <t>SDM201</t>
  </si>
  <si>
    <t>SPARKLE DIGITAL MEDIA LIMITED</t>
  </si>
  <si>
    <t>sparkledigitalmedia@gmail.com</t>
  </si>
  <si>
    <t>0786115255 / 0726290515</t>
  </si>
  <si>
    <t>SDS200</t>
  </si>
  <si>
    <t>Smoothtel &amp;Data Solutions Ltd</t>
  </si>
  <si>
    <t>procurement@smoothtel.com</t>
  </si>
  <si>
    <t xml:space="preserve">0710205020 / </t>
  </si>
  <si>
    <t>SDV200</t>
  </si>
  <si>
    <t>Spyx Digital Village</t>
  </si>
  <si>
    <t>spyxdigitalvillage@gmail.com</t>
  </si>
  <si>
    <t>0723648084 / 0737571500</t>
  </si>
  <si>
    <t>SEA201</t>
  </si>
  <si>
    <t>SHIBAM ENTERPRISES</t>
  </si>
  <si>
    <t>shibam.enterp@gmail.com</t>
  </si>
  <si>
    <t>0731475976 / 0715457458</t>
  </si>
  <si>
    <t>SEA202</t>
  </si>
  <si>
    <t>Smartedge East Africa Limited</t>
  </si>
  <si>
    <t>jgathurai@smartedge.co.ke</t>
  </si>
  <si>
    <t>0711723890 / 0202349490</t>
  </si>
  <si>
    <t>SEAL200</t>
  </si>
  <si>
    <t>SYNERTECH EAST AFRICA LTD</t>
  </si>
  <si>
    <t>info@synertech-kenya.com</t>
  </si>
  <si>
    <t xml:space="preserve">0202331268 / </t>
  </si>
  <si>
    <t>SEC200</t>
  </si>
  <si>
    <t>Secutech East Africa Ltd</t>
  </si>
  <si>
    <t>accounts@secutech-ea.com</t>
  </si>
  <si>
    <t>0202572885 / 0725980966</t>
  </si>
  <si>
    <t>SEL200</t>
  </si>
  <si>
    <t>Steam Electronics</t>
  </si>
  <si>
    <t>info@steamelectronics.com</t>
  </si>
  <si>
    <t xml:space="preserve">0722371971 / </t>
  </si>
  <si>
    <t>SEQ200</t>
  </si>
  <si>
    <t>SEQUEL ENTERPRISES</t>
  </si>
  <si>
    <t>samkiharamwangi@gmail.com</t>
  </si>
  <si>
    <t>254728503919 / 254722324976</t>
  </si>
  <si>
    <t>SFL205</t>
  </si>
  <si>
    <t>SUNFLASH TECHNOLOGIES LTD</t>
  </si>
  <si>
    <t>cto@sunflashtech.co.ke</t>
  </si>
  <si>
    <t>0720391015 / 0733771215</t>
  </si>
  <si>
    <t>SFT200</t>
  </si>
  <si>
    <t>Soft Business Solutions</t>
  </si>
  <si>
    <t>info@sbs-kenya.com</t>
  </si>
  <si>
    <t>SHA201</t>
  </si>
  <si>
    <t>SHAH TECHNOLOGIES SOLUTION</t>
  </si>
  <si>
    <t>info@shahtechsolution.com</t>
  </si>
  <si>
    <t xml:space="preserve">0724599578 / </t>
  </si>
  <si>
    <t>SHB200</t>
  </si>
  <si>
    <t>Systems Hub limited</t>
  </si>
  <si>
    <t>accounts@systemshub.co.ke</t>
  </si>
  <si>
    <t>0732942181 / 0721942181</t>
  </si>
  <si>
    <t>SHJ200</t>
  </si>
  <si>
    <t>Shujaa</t>
  </si>
  <si>
    <t>stanleykirui@hotmail.com</t>
  </si>
  <si>
    <t xml:space="preserve">0712990000 / </t>
  </si>
  <si>
    <t>SHO200</t>
  </si>
  <si>
    <t>Shonitel Limited</t>
  </si>
  <si>
    <t>sales@shonitel.com</t>
  </si>
  <si>
    <t>0723904462 / 0786567745</t>
  </si>
  <si>
    <t>SHP200</t>
  </si>
  <si>
    <t>Shop I T Store Limited</t>
  </si>
  <si>
    <t>p2.electronics@shopit.co.ke</t>
  </si>
  <si>
    <t xml:space="preserve">0792438492 / </t>
  </si>
  <si>
    <t>SIC200</t>
  </si>
  <si>
    <t>Simsnet It Consultant</t>
  </si>
  <si>
    <t>simon@simsnet.co.ke</t>
  </si>
  <si>
    <t xml:space="preserve">0721279939 / </t>
  </si>
  <si>
    <t>SIE201</t>
  </si>
  <si>
    <t>Siemtec Access System Limited</t>
  </si>
  <si>
    <t>nairobitouch@gmail.com</t>
  </si>
  <si>
    <t xml:space="preserve">0721994542 / </t>
  </si>
  <si>
    <t>SIG201</t>
  </si>
  <si>
    <t>Sigil Solutions</t>
  </si>
  <si>
    <t>Aman.Ghai@sigilsolutions.net</t>
  </si>
  <si>
    <t xml:space="preserve">0780560637 / </t>
  </si>
  <si>
    <t>SKC200</t>
  </si>
  <si>
    <t>SK Consultancy Limited</t>
  </si>
  <si>
    <t>info@skcl.co.ke</t>
  </si>
  <si>
    <t>SKH200</t>
  </si>
  <si>
    <t>Skepta Holdings Ltd</t>
  </si>
  <si>
    <t>info@skeptaholdings.co.ke</t>
  </si>
  <si>
    <t>0721946974 / 0723229748</t>
  </si>
  <si>
    <t>SMA201</t>
  </si>
  <si>
    <t>Siema Technologies</t>
  </si>
  <si>
    <t>susan@siematechnologies.co.ke</t>
  </si>
  <si>
    <t>254707964490 / 254707964490</t>
  </si>
  <si>
    <t>SMA205</t>
  </si>
  <si>
    <t>SMARTTECH AFRICA LTD</t>
  </si>
  <si>
    <t>Ravindravaghjiyani@gmail.com</t>
  </si>
  <si>
    <t>742407938 / 0044743884507</t>
  </si>
  <si>
    <t>SMC200</t>
  </si>
  <si>
    <t>Smart Cents Ltd</t>
  </si>
  <si>
    <t>bilal@smartcents.co.ke</t>
  </si>
  <si>
    <t>0752777270 / 0722357255</t>
  </si>
  <si>
    <t>SML200</t>
  </si>
  <si>
    <t>SPECICOM TECHNOLOGIES LTD</t>
  </si>
  <si>
    <t>kagwanja@specicom.co.ke</t>
  </si>
  <si>
    <t xml:space="preserve">0721125474 / </t>
  </si>
  <si>
    <t>SMT200</t>
  </si>
  <si>
    <t>SANTECH LTD</t>
  </si>
  <si>
    <t>m.nishaz@santech.co.ke</t>
  </si>
  <si>
    <t>0721853770 / 0716566999</t>
  </si>
  <si>
    <t>SMT202</t>
  </si>
  <si>
    <t>SMARTWAYS HOLDINGS LTD</t>
  </si>
  <si>
    <t>info@smartwayske.co.ke</t>
  </si>
  <si>
    <t>0721563140 / 0720755355</t>
  </si>
  <si>
    <t>SMZ200</t>
  </si>
  <si>
    <t>SAMZ GROUP LIMITED</t>
  </si>
  <si>
    <t>hosea@samzgrouplimited.com</t>
  </si>
  <si>
    <t>SNC200</t>
  </si>
  <si>
    <t>Sense Network Consultants</t>
  </si>
  <si>
    <t>asewemail@gmail.com</t>
  </si>
  <si>
    <t xml:space="preserve">+254734032040 / </t>
  </si>
  <si>
    <t>SNS201</t>
  </si>
  <si>
    <t>Sansfill solutions</t>
  </si>
  <si>
    <t>Sansfillsolutions@gmail.com</t>
  </si>
  <si>
    <t xml:space="preserve">0780100004 / </t>
  </si>
  <si>
    <t>SOS200</t>
  </si>
  <si>
    <t>Stimal Office</t>
  </si>
  <si>
    <t>stimaloffice@yahoo.com</t>
  </si>
  <si>
    <t>0727173858 / 3313087</t>
  </si>
  <si>
    <t>SPC200</t>
  </si>
  <si>
    <t>Spaceman IT mart Limited</t>
  </si>
  <si>
    <t>ruth@spaceman.co.ke</t>
  </si>
  <si>
    <t>0729419406 / 0702444448</t>
  </si>
  <si>
    <t>SPE201</t>
  </si>
  <si>
    <t>SPEED ENTERPRISES</t>
  </si>
  <si>
    <t>info@speedke.com</t>
  </si>
  <si>
    <t xml:space="preserve">0722376165 / </t>
  </si>
  <si>
    <t>SPE205</t>
  </si>
  <si>
    <t>SPHERETEK COMPANY LTD</t>
  </si>
  <si>
    <t>sally@spheretek.co.ke</t>
  </si>
  <si>
    <t xml:space="preserve">0717533913 / </t>
  </si>
  <si>
    <t>SPS200</t>
  </si>
  <si>
    <t>Sprint Systems Limited</t>
  </si>
  <si>
    <t>joe@sprint.co.ke</t>
  </si>
  <si>
    <t xml:space="preserve">0725261222 / </t>
  </si>
  <si>
    <t>SPS205</t>
  </si>
  <si>
    <t>Sterling &amp; Paragon Solutions</t>
  </si>
  <si>
    <t>stellar.gikonyoh@gmail.com</t>
  </si>
  <si>
    <t xml:space="preserve">0720933866 / </t>
  </si>
  <si>
    <t>SPU202</t>
  </si>
  <si>
    <t>Sputnik Engineering</t>
  </si>
  <si>
    <t>sputnikems@gmail.com</t>
  </si>
  <si>
    <t xml:space="preserve">0724989304 / </t>
  </si>
  <si>
    <t>SRT200</t>
  </si>
  <si>
    <t>Smart Plus Limited</t>
  </si>
  <si>
    <t>info@smartplus.co.ke</t>
  </si>
  <si>
    <t>0722222289 / 0722914224</t>
  </si>
  <si>
    <t>SSE200</t>
  </si>
  <si>
    <t>Synergy Systems EA Ltd.</t>
  </si>
  <si>
    <t>eugene99eng04@gmail.com</t>
  </si>
  <si>
    <t>SST201</t>
  </si>
  <si>
    <t>San Systems Technologies</t>
  </si>
  <si>
    <t>wilbert@sansystems.co.ke</t>
  </si>
  <si>
    <t>0722220265 / 0732220265</t>
  </si>
  <si>
    <t>STC205</t>
  </si>
  <si>
    <t>SOHAM TRADING CO. LTD</t>
  </si>
  <si>
    <t>sohamtradingcoltd@gmail.com</t>
  </si>
  <si>
    <t>0733993599 / 0733993599</t>
  </si>
  <si>
    <t>STM205</t>
  </si>
  <si>
    <t>SAPPHIRE TRADING &amp; MARKETING</t>
  </si>
  <si>
    <t>sawan@sapphire.co.ke</t>
  </si>
  <si>
    <t xml:space="preserve">0713514953 / </t>
  </si>
  <si>
    <t>STR203</t>
  </si>
  <si>
    <t>STARTUP TECH</t>
  </si>
  <si>
    <t>startuptech125@gmail.com</t>
  </si>
  <si>
    <t>254724850005 / 254724850005</t>
  </si>
  <si>
    <t>STT201</t>
  </si>
  <si>
    <t>Smarttech Technology Limited</t>
  </si>
  <si>
    <t>arfanaadmani@smarttech.co.ke</t>
  </si>
  <si>
    <t>0722857272 / 0732857272</t>
  </si>
  <si>
    <t>STY200</t>
  </si>
  <si>
    <t>STYLUS SYSTEMS TECHNOLOGIES LTD</t>
  </si>
  <si>
    <t>stylusystems@gmail.com</t>
  </si>
  <si>
    <t xml:space="preserve">0722970114 / </t>
  </si>
  <si>
    <t>SUN200</t>
  </si>
  <si>
    <t>Sun Systems Ltd</t>
  </si>
  <si>
    <t>sales@sunsystems.co.ke</t>
  </si>
  <si>
    <t>SUS205</t>
  </si>
  <si>
    <t>SUETECH BUSINESS SYSTEMS LTD</t>
  </si>
  <si>
    <t>info@suetech.co.ke</t>
  </si>
  <si>
    <t>0710271242 / 0710271242</t>
  </si>
  <si>
    <t>SVL200</t>
  </si>
  <si>
    <t>Spans Ventures Ltd</t>
  </si>
  <si>
    <t>accounts@spansventures.com</t>
  </si>
  <si>
    <t xml:space="preserve">0713801302 / </t>
  </si>
  <si>
    <t>SYL205</t>
  </si>
  <si>
    <t>Synaptech Solutions Ltd</t>
  </si>
  <si>
    <t>robertyawe@synaptech.co.ke</t>
  </si>
  <si>
    <t xml:space="preserve">254722511225 / </t>
  </si>
  <si>
    <t>SYM100</t>
  </si>
  <si>
    <t>Symphony Limited</t>
  </si>
  <si>
    <t>cgisore@symphony.co.ke</t>
  </si>
  <si>
    <t>0720930245 / 0722205457</t>
  </si>
  <si>
    <t>SYN203</t>
  </si>
  <si>
    <t>Synacor Consortium Limited</t>
  </si>
  <si>
    <t>info@synacor.co.ke</t>
  </si>
  <si>
    <t>0720000725 / 0720000725</t>
  </si>
  <si>
    <t>SYP200</t>
  </si>
  <si>
    <t>SYSPAL LTD</t>
  </si>
  <si>
    <t>tonygich@gmail.com</t>
  </si>
  <si>
    <t xml:space="preserve">0722522687 / </t>
  </si>
  <si>
    <t>SZL200</t>
  </si>
  <si>
    <t>Servers Zone limited</t>
  </si>
  <si>
    <t>hesbon@serverszonelimited.co.ke</t>
  </si>
  <si>
    <t>0721825530 / 0204408963</t>
  </si>
  <si>
    <t>TAL202</t>
  </si>
  <si>
    <t>Telematics Africa Limited</t>
  </si>
  <si>
    <t>francis.mulati@telematicsafrica.com</t>
  </si>
  <si>
    <t xml:space="preserve">0724877218 / </t>
  </si>
  <si>
    <t>TBC200</t>
  </si>
  <si>
    <t>Text Book Centre Ltd</t>
  </si>
  <si>
    <t>itsales@tbc.co.ke</t>
  </si>
  <si>
    <t xml:space="preserve">721201444 / </t>
  </si>
  <si>
    <t>TBM200</t>
  </si>
  <si>
    <t>Trans Business Machines Ltd</t>
  </si>
  <si>
    <t>smugo@tbm.co.ke</t>
  </si>
  <si>
    <t xml:space="preserve">0709893115 / </t>
  </si>
  <si>
    <t>TCH200</t>
  </si>
  <si>
    <t>TECHNET SOURCE LIMITED</t>
  </si>
  <si>
    <t>sales@technetsource.co.ke</t>
  </si>
  <si>
    <t xml:space="preserve">0722659373 / </t>
  </si>
  <si>
    <t>TCL200</t>
  </si>
  <si>
    <t>Top Choice Limited</t>
  </si>
  <si>
    <t>Emily@topchoice.co.ke</t>
  </si>
  <si>
    <t>TCL201</t>
  </si>
  <si>
    <t>Tabarin Consulting ltd</t>
  </si>
  <si>
    <t>george.kiptalam@tabarinconsulting.com</t>
  </si>
  <si>
    <t xml:space="preserve">+254733805899 / </t>
  </si>
  <si>
    <t>TCS201</t>
  </si>
  <si>
    <t>TOKEN COMMUNICATION SERVICES</t>
  </si>
  <si>
    <t>kenneth@tokencom.com</t>
  </si>
  <si>
    <t>0722385795 / 0724674387</t>
  </si>
  <si>
    <t>TDE200</t>
  </si>
  <si>
    <t>TechData Enterprise</t>
  </si>
  <si>
    <t>info@techdataenterprise.com</t>
  </si>
  <si>
    <t>TDS200</t>
  </si>
  <si>
    <t>Touchdown Systems Ltd</t>
  </si>
  <si>
    <t>office.admin@touchdown.co.ke</t>
  </si>
  <si>
    <t>0718839188 / 0204441188</t>
  </si>
  <si>
    <t>TEC201</t>
  </si>
  <si>
    <t>Tech Today Ltd</t>
  </si>
  <si>
    <t>Jennifer@tec-today.com</t>
  </si>
  <si>
    <t xml:space="preserve">0722842214 / </t>
  </si>
  <si>
    <t>TEC208</t>
  </si>
  <si>
    <t>TECHRON LIMITED</t>
  </si>
  <si>
    <t>albert@techronltd.co.ke</t>
  </si>
  <si>
    <t>0712206482 / 0207857963</t>
  </si>
  <si>
    <t>TECH205</t>
  </si>
  <si>
    <t>TECHSOLS ENTREPRICES</t>
  </si>
  <si>
    <t>micoti2@gmail.com</t>
  </si>
  <si>
    <t xml:space="preserve">0720462141 / </t>
  </si>
  <si>
    <t>TEL205</t>
  </si>
  <si>
    <t>TECELIT SOLUTIONS LIMITED</t>
  </si>
  <si>
    <t>coprporatesales@teceilt.co.ke</t>
  </si>
  <si>
    <t>0724070658 / 0735083722</t>
  </si>
  <si>
    <t>TES201</t>
  </si>
  <si>
    <t>Telenet Solutions Limited</t>
  </si>
  <si>
    <t>info@telenet.co.ke</t>
  </si>
  <si>
    <t>254721840146 / 254721494652</t>
  </si>
  <si>
    <t>TET200</t>
  </si>
  <si>
    <t>TEXT EXPRESS TECHNOLOGIES</t>
  </si>
  <si>
    <t>qshikuku@txtxpress.com</t>
  </si>
  <si>
    <t xml:space="preserve">0722367509 / </t>
  </si>
  <si>
    <t>TGL200</t>
  </si>
  <si>
    <t>TODA GLOBAL LTD</t>
  </si>
  <si>
    <t>johnk@toodaa.com</t>
  </si>
  <si>
    <t>0720296298 / 0714-955-500</t>
  </si>
  <si>
    <t>TGL201</t>
  </si>
  <si>
    <t>Tecra Group Ltd</t>
  </si>
  <si>
    <t>tecragroupltd@gmail.com</t>
  </si>
  <si>
    <t>0728727171 / 0202004884</t>
  </si>
  <si>
    <t>THK200</t>
  </si>
  <si>
    <t>Technology House kenya ltd</t>
  </si>
  <si>
    <t>shrikesh@techhouse.co.ke</t>
  </si>
  <si>
    <t>0722510343 / 0722510343</t>
  </si>
  <si>
    <t>TIP200</t>
  </si>
  <si>
    <t>TipTop Computer Servises</t>
  </si>
  <si>
    <t>nwangure@gmail.com</t>
  </si>
  <si>
    <t xml:space="preserve">0722804922 / </t>
  </si>
  <si>
    <t>TIS200</t>
  </si>
  <si>
    <t>Tazama Interlink Systems Ltd</t>
  </si>
  <si>
    <t>sales@tisafrica.co.ke</t>
  </si>
  <si>
    <t>0736822547 / 0722919276</t>
  </si>
  <si>
    <t>TKG200</t>
  </si>
  <si>
    <t>Thinkegic Solutions</t>
  </si>
  <si>
    <t>Sammy.Wangeci@thinkegic.co.ke</t>
  </si>
  <si>
    <t>717811639 / 0722522484</t>
  </si>
  <si>
    <t>TKT200</t>
  </si>
  <si>
    <t>Turktech Ventures</t>
  </si>
  <si>
    <t>fredericks@turktech.co.ke</t>
  </si>
  <si>
    <t>0728777143 / 0731758270</t>
  </si>
  <si>
    <t>TLE200</t>
  </si>
  <si>
    <t>TALINDA EAST AFRICA LTD</t>
  </si>
  <si>
    <t>admin@talinda.net</t>
  </si>
  <si>
    <t>0719254928 / 0208077704</t>
  </si>
  <si>
    <t>TLK200</t>
  </si>
  <si>
    <t>Techlink limited</t>
  </si>
  <si>
    <t>tabitha.buku@techlinklimited.co.ke</t>
  </si>
  <si>
    <t>0712770662 / 020434500</t>
  </si>
  <si>
    <t>TLS200</t>
  </si>
  <si>
    <t>TIMELINE SOLUTIONS</t>
  </si>
  <si>
    <t>cosangori@timelineafrica.net</t>
  </si>
  <si>
    <t>0722290431 / 0202407535</t>
  </si>
  <si>
    <t>TLS201</t>
  </si>
  <si>
    <t>TELSHACK LIMITED</t>
  </si>
  <si>
    <t>hesham@telshack.com</t>
  </si>
  <si>
    <t xml:space="preserve">0729055666 / </t>
  </si>
  <si>
    <t>TMD200</t>
  </si>
  <si>
    <t>Tech MD</t>
  </si>
  <si>
    <t>hasham@techmd.co.ke</t>
  </si>
  <si>
    <t>TME100</t>
  </si>
  <si>
    <t>Toner Masters limited</t>
  </si>
  <si>
    <t>info@tonermasters.co.ke</t>
  </si>
  <si>
    <t>0735555222 / 0777555222</t>
  </si>
  <si>
    <t>TML100</t>
  </si>
  <si>
    <t>Techbiz Limited-Mombasa</t>
  </si>
  <si>
    <t>farhak@techbizafrica.com</t>
  </si>
  <si>
    <t xml:space="preserve">0727632526 / </t>
  </si>
  <si>
    <t>TOK200</t>
  </si>
  <si>
    <t>Tokoyasu Solutions Limited</t>
  </si>
  <si>
    <t>ict@tokoyasu.com</t>
  </si>
  <si>
    <t>0725548717 / 0777548717</t>
  </si>
  <si>
    <t>TOP205</t>
  </si>
  <si>
    <t>TOPSUP SOLUTIONS</t>
  </si>
  <si>
    <t>vmugo@topsupsolutions.co.ke</t>
  </si>
  <si>
    <t xml:space="preserve">254723897475 / </t>
  </si>
  <si>
    <t>TOS200</t>
  </si>
  <si>
    <t>Toshiba Max Ltd</t>
  </si>
  <si>
    <t>sales@toshibamax.com</t>
  </si>
  <si>
    <t xml:space="preserve">0721475574 / </t>
  </si>
  <si>
    <t>TPR200</t>
  </si>
  <si>
    <t>TechPro CompSoln Company Ltd</t>
  </si>
  <si>
    <t>admin@techpro.co.ke</t>
  </si>
  <si>
    <t>0716824022 / 0716824022</t>
  </si>
  <si>
    <t>TRA201</t>
  </si>
  <si>
    <t>Trafford International Ltd</t>
  </si>
  <si>
    <t>u.singh@traffordint.biz</t>
  </si>
  <si>
    <t>722259510 / 734844477</t>
  </si>
  <si>
    <t>TRB200</t>
  </si>
  <si>
    <t>Transbyte systems limited</t>
  </si>
  <si>
    <t>dankombo@gmail.com</t>
  </si>
  <si>
    <t xml:space="preserve">+254727901329 / </t>
  </si>
  <si>
    <t>TRL201</t>
  </si>
  <si>
    <t>Trell investment</t>
  </si>
  <si>
    <t>haurezbrian@gmail.com</t>
  </si>
  <si>
    <t>0728340792 / 0728340792</t>
  </si>
  <si>
    <t>TRO200</t>
  </si>
  <si>
    <t>Tronic Communications Ltd</t>
  </si>
  <si>
    <t>gashianga@troniccommunicationltd.co.ke</t>
  </si>
  <si>
    <t>0720278026 / 0733794030</t>
  </si>
  <si>
    <t>TRS200</t>
  </si>
  <si>
    <t>Trance Solutions</t>
  </si>
  <si>
    <t>eric.nyaga@trancesolutions.co.ke</t>
  </si>
  <si>
    <t>0733282829 / 0752282829</t>
  </si>
  <si>
    <t>TSL200</t>
  </si>
  <si>
    <t>Total Solutions Ltd</t>
  </si>
  <si>
    <t>info@totalsolutions.co.ke</t>
  </si>
  <si>
    <t>0724267814 / 0203747007</t>
  </si>
  <si>
    <t>TSL203</t>
  </si>
  <si>
    <t>Techno Soft Limited</t>
  </si>
  <si>
    <t>sikander.yakub@technosoftkenya.com</t>
  </si>
  <si>
    <t>0733705450 / 0787101008</t>
  </si>
  <si>
    <t>TSL207</t>
  </si>
  <si>
    <t>TUNYA SYSTEMS LIMITED</t>
  </si>
  <si>
    <t>omondi@tunyasystems.co.ke</t>
  </si>
  <si>
    <t xml:space="preserve">+254726365747 / </t>
  </si>
  <si>
    <t>TST200</t>
  </si>
  <si>
    <t>Technosource Trading</t>
  </si>
  <si>
    <t>Hkamau@technosource.co.ke</t>
  </si>
  <si>
    <t>0723786193 / 0722976506</t>
  </si>
  <si>
    <t>TTL202</t>
  </si>
  <si>
    <t>Techvana Technologies Ltd</t>
  </si>
  <si>
    <t>vijay@techvana.co.ke</t>
  </si>
  <si>
    <t xml:space="preserve">0705229907 / </t>
  </si>
  <si>
    <t>TTL205</t>
  </si>
  <si>
    <t>Tovuty Technologies LTD</t>
  </si>
  <si>
    <t>office@tovuty.com</t>
  </si>
  <si>
    <t>0777054001 / 0780054001</t>
  </si>
  <si>
    <t>TTT200</t>
  </si>
  <si>
    <t>Tiyat Trends and Technologies Ltd</t>
  </si>
  <si>
    <t>totieno@tiyat.co.ke</t>
  </si>
  <si>
    <t>0733778999 / 0724541896</t>
  </si>
  <si>
    <t>TUX200</t>
  </si>
  <si>
    <t>TUXKENYA LTD</t>
  </si>
  <si>
    <t>Guri@tux.co.ke</t>
  </si>
  <si>
    <t>0700909090 / 0798758035</t>
  </si>
  <si>
    <t>TWL200</t>
  </si>
  <si>
    <t>Twixt Technologies Ltd</t>
  </si>
  <si>
    <t>isack@twixt.co.ke</t>
  </si>
  <si>
    <t>0776999112 / 0729281560</t>
  </si>
  <si>
    <t>UBO200</t>
  </si>
  <si>
    <t>UBUNTU ONLINE</t>
  </si>
  <si>
    <t>INFO@UBUNTU.CO.KE</t>
  </si>
  <si>
    <t>0721665779 / 0722596632</t>
  </si>
  <si>
    <t>UCA205</t>
  </si>
  <si>
    <t>UNICORN AGENCIES</t>
  </si>
  <si>
    <t>info@unicornagencies.com</t>
  </si>
  <si>
    <t xml:space="preserve">+254729612098 / </t>
  </si>
  <si>
    <t>UDS201</t>
  </si>
  <si>
    <t>UNIFIED DIGITAL SYSTEMS</t>
  </si>
  <si>
    <t>charles@unifieddigitalsystems.co.ke</t>
  </si>
  <si>
    <t>0734405339 / 0725936756</t>
  </si>
  <si>
    <t>UNI200</t>
  </si>
  <si>
    <t>Uni Rite Systems &amp; Supplies Limited</t>
  </si>
  <si>
    <t>sales@uni-ritelimited.co.ke</t>
  </si>
  <si>
    <t>0722514003 / 0203502486</t>
  </si>
  <si>
    <t>USL200</t>
  </si>
  <si>
    <t>Unidata SystemsLtd</t>
  </si>
  <si>
    <t>anania.ogutu@usl.co.ke</t>
  </si>
  <si>
    <t>0724422200 / 0722521003</t>
  </si>
  <si>
    <t>USL201</t>
  </si>
  <si>
    <t>UHAKIKA SERVICES LIMITED</t>
  </si>
  <si>
    <t>jgicharu@uhakika.co.ke</t>
  </si>
  <si>
    <t>0722843930 / 0716359036</t>
  </si>
  <si>
    <t>UTS201</t>
  </si>
  <si>
    <t>Unboxinkenya Technology Systems</t>
  </si>
  <si>
    <t>unboxinkenya@gmail.com</t>
  </si>
  <si>
    <t>0726586119 / 0782837198</t>
  </si>
  <si>
    <t>VCS201</t>
  </si>
  <si>
    <t>Value Connection Services Ltd</t>
  </si>
  <si>
    <t>joseph@valueconnectiongroup.co.ke</t>
  </si>
  <si>
    <t>254717836160 / 254738175286</t>
  </si>
  <si>
    <t>VDS202</t>
  </si>
  <si>
    <t>VDS Technology Kenya Limited</t>
  </si>
  <si>
    <t>keshav@vds.ae</t>
  </si>
  <si>
    <t xml:space="preserve">752055202  / 752055202 </t>
  </si>
  <si>
    <t>VGS200</t>
  </si>
  <si>
    <t>Visible General  Supplies  Limited</t>
  </si>
  <si>
    <t>sales@visible.co.ke</t>
  </si>
  <si>
    <t>VIL207</t>
  </si>
  <si>
    <t>VILKAS LIMITED</t>
  </si>
  <si>
    <t>daniel@smdtechnologies.co.za</t>
  </si>
  <si>
    <t xml:space="preserve">0734423414 / </t>
  </si>
  <si>
    <t>VIM200</t>
  </si>
  <si>
    <t>Vimak Company Limited</t>
  </si>
  <si>
    <t>lhenya@vimak.co.ke</t>
  </si>
  <si>
    <t>0721748463 / 0733414846</t>
  </si>
  <si>
    <t>VNT201</t>
  </si>
  <si>
    <t>Vianet Solutions Limited</t>
  </si>
  <si>
    <t>vmurage@vianetsolutionsltd.com</t>
  </si>
  <si>
    <t>254722674140 / 2540207858845</t>
  </si>
  <si>
    <t>VTS200</t>
  </si>
  <si>
    <t>Viral Tech Solutions</t>
  </si>
  <si>
    <t>dephencegroupltd@gmail.com</t>
  </si>
  <si>
    <t>0737705118 / 0715575144</t>
  </si>
  <si>
    <t>VTX200</t>
  </si>
  <si>
    <t>Vertex Group Limited</t>
  </si>
  <si>
    <t>maryanne@vertexhubgroup.com</t>
  </si>
  <si>
    <t xml:space="preserve">0700354050 / </t>
  </si>
  <si>
    <t>WAK200</t>
  </si>
  <si>
    <t>Waka Electrical Services</t>
  </si>
  <si>
    <t>info@wakapowerlines.co.ke</t>
  </si>
  <si>
    <t>0722675848 / 0733724742</t>
  </si>
  <si>
    <t>WAR200</t>
  </si>
  <si>
    <t>WS Insight Ltd.</t>
  </si>
  <si>
    <t>josephnjogu@insightsecure.com</t>
  </si>
  <si>
    <t xml:space="preserve">0722258802 / </t>
  </si>
  <si>
    <t>WAS200</t>
  </si>
  <si>
    <t>Wise $ Agile Solutions Ltd</t>
  </si>
  <si>
    <t>pj@wizag.biz</t>
  </si>
  <si>
    <t xml:space="preserve">0728956308 / </t>
  </si>
  <si>
    <t>WCL200</t>
  </si>
  <si>
    <t>Webrunner Computer Ltd</t>
  </si>
  <si>
    <t>cathy@webrunner.co.ke</t>
  </si>
  <si>
    <t>0724242605 / 0720971486</t>
  </si>
  <si>
    <t>WES200</t>
  </si>
  <si>
    <t>Westside  Stationers Ltd</t>
  </si>
  <si>
    <t>info@westside-stationers.com</t>
  </si>
  <si>
    <t>0727014111 / 0722724481</t>
  </si>
  <si>
    <t>WHL201</t>
  </si>
  <si>
    <t>Webresource Hub Ltd</t>
  </si>
  <si>
    <t>webresourcehub@gmail.com</t>
  </si>
  <si>
    <t>0728096902 / 0707994787</t>
  </si>
  <si>
    <t>WIL200</t>
  </si>
  <si>
    <t>Watervale Invst Limited</t>
  </si>
  <si>
    <t>procurement@watervale.co.ke</t>
  </si>
  <si>
    <t>0705981092 / 0716612747</t>
  </si>
  <si>
    <t>WIL201</t>
  </si>
  <si>
    <t>Wilcom Systems Limited</t>
  </si>
  <si>
    <t>wkerebei@wilcom.co.ke</t>
  </si>
  <si>
    <t xml:space="preserve">0722719412 / </t>
  </si>
  <si>
    <t>WKL200</t>
  </si>
  <si>
    <t>WICOM KENYA LIMITED</t>
  </si>
  <si>
    <t>patrick@wi-com.co.ke</t>
  </si>
  <si>
    <t>254734965687 / 254739992743</t>
  </si>
  <si>
    <t>WLT200</t>
  </si>
  <si>
    <t>Webline Technologies Ltd</t>
  </si>
  <si>
    <t>sales@webline.co.ke</t>
  </si>
  <si>
    <t>0204440113 / 0722633540</t>
  </si>
  <si>
    <t>WOR200</t>
  </si>
  <si>
    <t>World Electronics</t>
  </si>
  <si>
    <t>salesworld.ict@gmail.com</t>
  </si>
  <si>
    <t>0723296641 / 0703213370</t>
  </si>
  <si>
    <t>WOT200</t>
  </si>
  <si>
    <t>Wodex Technologies</t>
  </si>
  <si>
    <t>kenya@wodex.co.ke</t>
  </si>
  <si>
    <t>0725688888 / 0792100007</t>
  </si>
  <si>
    <t>WTL200</t>
  </si>
  <si>
    <t>Wonder Technologies Limited</t>
  </si>
  <si>
    <t>bngotho@wondertechnologies.co.ke</t>
  </si>
  <si>
    <t>0722404048 / 0738338388</t>
  </si>
  <si>
    <t>XEA200</t>
  </si>
  <si>
    <t>XC360 EA LTD</t>
  </si>
  <si>
    <t>abdul@xc360.co.ke</t>
  </si>
  <si>
    <t>0714705452 / 0714705453</t>
  </si>
  <si>
    <t>XEN200</t>
  </si>
  <si>
    <t>Xenon Kenya LTD</t>
  </si>
  <si>
    <t>peter.kirui@xenonkenya.com</t>
  </si>
  <si>
    <t>0726879034 / 0791969326</t>
  </si>
  <si>
    <t>XON200</t>
  </si>
  <si>
    <t>Xeon technologies</t>
  </si>
  <si>
    <t>khasham@xeontech.co.ke</t>
  </si>
  <si>
    <t xml:space="preserve">254722688180 / </t>
  </si>
  <si>
    <t>XTL201</t>
  </si>
  <si>
    <t>XEN TECHNOLOGIES LTD</t>
  </si>
  <si>
    <t>tbrian@xen.co.ke</t>
  </si>
  <si>
    <t xml:space="preserve">0720950346 / </t>
  </si>
  <si>
    <t>XTR200</t>
  </si>
  <si>
    <t>Xtranet Communications Limited</t>
  </si>
  <si>
    <t>pascal.munyalo@xtranet.co.ke</t>
  </si>
  <si>
    <t>0733555678 / 0713277151</t>
  </si>
  <si>
    <t>YAZ200</t>
  </si>
  <si>
    <t>Yazeem Limited</t>
  </si>
  <si>
    <t>yazeemltd@gmail.com</t>
  </si>
  <si>
    <t>0721530600 / 0725979381</t>
  </si>
  <si>
    <t>ZEN200</t>
  </si>
  <si>
    <t>Zenith IT Services</t>
  </si>
  <si>
    <t>john@zenith-ke.com</t>
  </si>
  <si>
    <t>0733707460 / 254208047794</t>
  </si>
  <si>
    <t>ZSL201</t>
  </si>
  <si>
    <t>Zero To Sixty Limited</t>
  </si>
  <si>
    <t>karuoro@zero260.co.ke</t>
  </si>
  <si>
    <t xml:space="preserve">254720825121 / </t>
  </si>
  <si>
    <t>ZTL205</t>
  </si>
  <si>
    <t>ZURI TRIBE LIMITED</t>
  </si>
  <si>
    <t>operations@zuritribe.com</t>
  </si>
  <si>
    <t xml:space="preserve">+254722370479 / </t>
  </si>
  <si>
    <t>IVO</t>
  </si>
  <si>
    <t>IVO SOLUTIONS LTD</t>
  </si>
  <si>
    <t>TZ</t>
  </si>
  <si>
    <t>TANZANIA</t>
  </si>
  <si>
    <t>osmunda@ivosolutions.co.tz</t>
  </si>
  <si>
    <t>0688942666 / 0683195412</t>
  </si>
  <si>
    <t>SAPTZ</t>
  </si>
  <si>
    <t>NORWAY REGITERS DEVELOPMENT LIMITED</t>
  </si>
  <si>
    <t>esm@nrd.no</t>
  </si>
  <si>
    <t>0755804195 / 0713682394</t>
  </si>
  <si>
    <t>AAS001</t>
  </si>
  <si>
    <t>AHEAD AFRICA SOLUTIONS LIMITED</t>
  </si>
  <si>
    <t>vinod@aheadafrica.com</t>
  </si>
  <si>
    <t>0255788659778 / 0222113684</t>
  </si>
  <si>
    <t>ABG001</t>
  </si>
  <si>
    <t>ABANGE INVESTMENT</t>
  </si>
  <si>
    <t>abangeinvestment@gmail.com</t>
  </si>
  <si>
    <t xml:space="preserve">0715371966 / </t>
  </si>
  <si>
    <t>ACL005</t>
  </si>
  <si>
    <t>Avatech Communications Limited</t>
  </si>
  <si>
    <t>vmakene@avatech.co.tz</t>
  </si>
  <si>
    <t>255767270993 / 255673270993</t>
  </si>
  <si>
    <t>ADA001</t>
  </si>
  <si>
    <t>Adam &amp; Adrian</t>
  </si>
  <si>
    <t>adammacha@gmail.com</t>
  </si>
  <si>
    <t xml:space="preserve">0754269114 / </t>
  </si>
  <si>
    <t>AFR001</t>
  </si>
  <si>
    <t>AFRIMAX TECHNOLOGIES LTD</t>
  </si>
  <si>
    <t>lewis@afrimax.co.tz</t>
  </si>
  <si>
    <t>255784812185 / 255784812185</t>
  </si>
  <si>
    <t>AGC001</t>
  </si>
  <si>
    <t>Accuratus Group Company Limited</t>
  </si>
  <si>
    <t>accuratusgroup@gmail.com</t>
  </si>
  <si>
    <t>0684848847 / 0676499733</t>
  </si>
  <si>
    <t>AGL003</t>
  </si>
  <si>
    <t>Anasel Group Limited</t>
  </si>
  <si>
    <t>procure@anasel.co.tz</t>
  </si>
  <si>
    <t>0658095702 / 0688035135</t>
  </si>
  <si>
    <t>AGR001</t>
  </si>
  <si>
    <t>Agro Venture Ltd</t>
  </si>
  <si>
    <t>paul@bushlink.co.tz</t>
  </si>
  <si>
    <t xml:space="preserve">+255787078758 / </t>
  </si>
  <si>
    <t>AHC001</t>
  </si>
  <si>
    <t>AKAMA HOLDING COMPANY LTD</t>
  </si>
  <si>
    <t>sales@akama.co.tz</t>
  </si>
  <si>
    <t>AIM001</t>
  </si>
  <si>
    <t>AIM FIRMS LIMITED</t>
  </si>
  <si>
    <t>sales@aimfirms.com</t>
  </si>
  <si>
    <t>0222775990 / 0777926000</t>
  </si>
  <si>
    <t>AIT001</t>
  </si>
  <si>
    <t>AI-TECH TELECOM CO LIMITED</t>
  </si>
  <si>
    <t>eminja@aitech.co.tz</t>
  </si>
  <si>
    <t>0687470525 / 0679454166</t>
  </si>
  <si>
    <t>AKR001</t>
  </si>
  <si>
    <t>Akros Ltd</t>
  </si>
  <si>
    <t>k.mahenge@gmail.com</t>
  </si>
  <si>
    <t xml:space="preserve">0757834023 / </t>
  </si>
  <si>
    <t>AMD001</t>
  </si>
  <si>
    <t>AMD Solution Ltd</t>
  </si>
  <si>
    <t>sales@amd.co.tz</t>
  </si>
  <si>
    <t>0786178684 / 0623627576</t>
  </si>
  <si>
    <t>AML200</t>
  </si>
  <si>
    <t>AKALA MICROSUTIONS LIMITED</t>
  </si>
  <si>
    <t>bhenry@akalamicrosolutions.com</t>
  </si>
  <si>
    <t>0754996568 / 0712011727</t>
  </si>
  <si>
    <t>ANP001</t>
  </si>
  <si>
    <t>Anopnet</t>
  </si>
  <si>
    <t>somji.noel@gmail.com</t>
  </si>
  <si>
    <t xml:space="preserve">0713291998 / </t>
  </si>
  <si>
    <t>ANY001</t>
  </si>
  <si>
    <t>Anytech Computers Ltd</t>
  </si>
  <si>
    <t>md@anytechcomputers.co.tz</t>
  </si>
  <si>
    <t>0784436634 / 0754724211</t>
  </si>
  <si>
    <t>APL001</t>
  </si>
  <si>
    <t>APLITE CONSULTING</t>
  </si>
  <si>
    <t>mwakalinga@aplite.co.tz</t>
  </si>
  <si>
    <t>0719255656 / 0629222777</t>
  </si>
  <si>
    <t>APT001</t>
  </si>
  <si>
    <t>APTUS SOLUTIONS</t>
  </si>
  <si>
    <t>abdul@aptus.co.tz</t>
  </si>
  <si>
    <t>255786521333 / 0782788748</t>
  </si>
  <si>
    <t>ASY001</t>
  </si>
  <si>
    <t>Asyx Group Company Ltd</t>
  </si>
  <si>
    <t>mjumanne@asyx.co.tz</t>
  </si>
  <si>
    <t>ATL</t>
  </si>
  <si>
    <t>African Tehama Ltd</t>
  </si>
  <si>
    <t>ojuma@africantehama.co.tz</t>
  </si>
  <si>
    <t>0734301870 / 0626658318</t>
  </si>
  <si>
    <t>ATS005</t>
  </si>
  <si>
    <t>ARMOTECH (T) SOLUTIONS</t>
  </si>
  <si>
    <t>mgosingwa@gmail.com</t>
  </si>
  <si>
    <t>0717659655 / 0713518170</t>
  </si>
  <si>
    <t>ATV005</t>
  </si>
  <si>
    <t>Ativogroup Tanzania Limited</t>
  </si>
  <si>
    <t>givenngodoki@ativogroup.co.tz</t>
  </si>
  <si>
    <t>0716818033 / 0738250197</t>
  </si>
  <si>
    <t>BBT001</t>
  </si>
  <si>
    <t>BB TECHNOLOGIES LTD</t>
  </si>
  <si>
    <t>info@bb-technologies.co.tz</t>
  </si>
  <si>
    <t>0718681550 / 0717007493</t>
  </si>
  <si>
    <t>BCL001</t>
  </si>
  <si>
    <t>BITZ COMPANY LIMITED</t>
  </si>
  <si>
    <t>info@bitz.co.tz</t>
  </si>
  <si>
    <t xml:space="preserve">0773035077 / </t>
  </si>
  <si>
    <t>BEC005</t>
  </si>
  <si>
    <t>blue eye computer @accesories ltd</t>
  </si>
  <si>
    <t>kinogah42@gmail.com</t>
  </si>
  <si>
    <t>0712497096 / 0744898972</t>
  </si>
  <si>
    <t>BEL005</t>
  </si>
  <si>
    <t>Bell Communications Ltd</t>
  </si>
  <si>
    <t>finance@bell.co.tz</t>
  </si>
  <si>
    <t>0655776878 / 0762776878</t>
  </si>
  <si>
    <t>BES001</t>
  </si>
  <si>
    <t>Bestcom Company Ltd</t>
  </si>
  <si>
    <t>sales@bestcom.co.tz</t>
  </si>
  <si>
    <t>BIS005</t>
  </si>
  <si>
    <t>Beau Idéal Solutions Limited</t>
  </si>
  <si>
    <t>anael.ndosa@beau-ideal.co.tz</t>
  </si>
  <si>
    <t>0755281312 / 0753559449</t>
  </si>
  <si>
    <t>BIT001</t>
  </si>
  <si>
    <t>Bits and Bytes</t>
  </si>
  <si>
    <t>akbern@gmail.com</t>
  </si>
  <si>
    <t>BMF001</t>
  </si>
  <si>
    <t>BLUE MIRI FINANCE LIMITED</t>
  </si>
  <si>
    <t>cliff@bluemiri.co.tz</t>
  </si>
  <si>
    <t>0713123260 / 0752963748</t>
  </si>
  <si>
    <t>BMG005</t>
  </si>
  <si>
    <t>Brice Mark Group ltd</t>
  </si>
  <si>
    <t>jameskatabi@gmail.com</t>
  </si>
  <si>
    <t>BNL005</t>
  </si>
  <si>
    <t>BEYOND NATURE LTD</t>
  </si>
  <si>
    <t>info@beyond.co.tz</t>
  </si>
  <si>
    <t>255712892250 / 255789289074</t>
  </si>
  <si>
    <t>BON001</t>
  </si>
  <si>
    <t>BONGO TECHNOLOGIES</t>
  </si>
  <si>
    <t>fazleabbas@gmail.com</t>
  </si>
  <si>
    <t xml:space="preserve">0754255786 / </t>
  </si>
  <si>
    <t>BOS002</t>
  </si>
  <si>
    <t>BOSC BUSINESS SOLUTIONS LIMITED</t>
  </si>
  <si>
    <t>cmgaya@bosc.co.tz</t>
  </si>
  <si>
    <t>0655894116 / 0754894116</t>
  </si>
  <si>
    <t>BRS002</t>
  </si>
  <si>
    <t>Brasco Systems</t>
  </si>
  <si>
    <t>john.masalu@live.com</t>
  </si>
  <si>
    <t xml:space="preserve">0767633529 / </t>
  </si>
  <si>
    <t>BRT001</t>
  </si>
  <si>
    <t>BLUE ROCK TECHNOLOGIES</t>
  </si>
  <si>
    <t>bluerocktz@outlook.com</t>
  </si>
  <si>
    <t>0655828252 / 655828252</t>
  </si>
  <si>
    <t>BSC001</t>
  </si>
  <si>
    <t>BLUESYSTEMS COMPANY LIMITED</t>
  </si>
  <si>
    <t>sales@bluesystems.co.tz</t>
  </si>
  <si>
    <t xml:space="preserve">+255759333648 / </t>
  </si>
  <si>
    <t>BSE001</t>
  </si>
  <si>
    <t>Bright Spark Enterprises</t>
  </si>
  <si>
    <t>brightsparkenterprises@gmail.com</t>
  </si>
  <si>
    <t>BTC001</t>
  </si>
  <si>
    <t>Believe Tech Company Ltd</t>
  </si>
  <si>
    <t>timothysanga@believetech.co.tz</t>
  </si>
  <si>
    <t>255656917171 / 255756917171</t>
  </si>
  <si>
    <t>BTX001</t>
  </si>
  <si>
    <t>BTX (T) LIMITED</t>
  </si>
  <si>
    <t>sm@btx.co.tz</t>
  </si>
  <si>
    <t xml:space="preserve">0754999198 / </t>
  </si>
  <si>
    <t>BUR001</t>
  </si>
  <si>
    <t>BURHANI INFOSYS LTD</t>
  </si>
  <si>
    <t>aliasgar@burhaniinfosys.com</t>
  </si>
  <si>
    <t xml:space="preserve">0716012490 / </t>
  </si>
  <si>
    <t>BUR002</t>
  </si>
  <si>
    <t>BURHANI IT SERVICES</t>
  </si>
  <si>
    <t>Info@bits.co.tz</t>
  </si>
  <si>
    <t>0713778851 / 0742786053</t>
  </si>
  <si>
    <t>BUS002</t>
  </si>
  <si>
    <t>Business Connexion</t>
  </si>
  <si>
    <t>Anna.Bundala@bcx.co.tz</t>
  </si>
  <si>
    <t>0735578999 / 0764578999</t>
  </si>
  <si>
    <t>BXL001</t>
  </si>
  <si>
    <t>Belva Consult Limited</t>
  </si>
  <si>
    <t>lukaza.jones@belva.co.tz</t>
  </si>
  <si>
    <t>0754270400 / 2775910</t>
  </si>
  <si>
    <t>CAN001</t>
  </si>
  <si>
    <t>Canocity Tz Limited</t>
  </si>
  <si>
    <t>sales@canocity.co.tz</t>
  </si>
  <si>
    <t>0774033600 / 0787626511</t>
  </si>
  <si>
    <t>CAP001</t>
  </si>
  <si>
    <t>capricon technologies</t>
  </si>
  <si>
    <t>shehzaanhassanali2018@gmail.com</t>
  </si>
  <si>
    <t xml:space="preserve">787786850 / </t>
  </si>
  <si>
    <t>CCL005</t>
  </si>
  <si>
    <t>CYBER CONSULT (TANZANIA) LTD</t>
  </si>
  <si>
    <t>baraka@cyberconsult.co.tz</t>
  </si>
  <si>
    <t xml:space="preserve">0754279050 / </t>
  </si>
  <si>
    <t>CIS001</t>
  </si>
  <si>
    <t>CISS SOLUTIONS</t>
  </si>
  <si>
    <t>sabrina@ciss.co.tz</t>
  </si>
  <si>
    <t xml:space="preserve">0762334466 / </t>
  </si>
  <si>
    <t>CIS002</t>
  </si>
  <si>
    <t>CARETECH IT SOLUTIONS</t>
  </si>
  <si>
    <t>johnnybonphace@gmail.com</t>
  </si>
  <si>
    <t xml:space="preserve">0782424029 / </t>
  </si>
  <si>
    <t>CLI001</t>
  </si>
  <si>
    <t>Click Computers</t>
  </si>
  <si>
    <t>shakur@clickcomputerstz.com</t>
  </si>
  <si>
    <t xml:space="preserve">0756444350 / </t>
  </si>
  <si>
    <t>CLI004</t>
  </si>
  <si>
    <t>CLICKSTRIKE</t>
  </si>
  <si>
    <t>alykhan@cscomputers.co.tz</t>
  </si>
  <si>
    <t xml:space="preserve">0622772507 / </t>
  </si>
  <si>
    <t>CMC005</t>
  </si>
  <si>
    <t>Capital Machinery Company(CMC) Limited</t>
  </si>
  <si>
    <t>mdcmclimited@gmail.com</t>
  </si>
  <si>
    <t>0769994888 / 0713994888</t>
  </si>
  <si>
    <t>CMZ005</t>
  </si>
  <si>
    <t>Computerzone</t>
  </si>
  <si>
    <t>computerzonetz@gmail.com</t>
  </si>
  <si>
    <t xml:space="preserve">0757122222 / </t>
  </si>
  <si>
    <t>CNE001</t>
  </si>
  <si>
    <t>C - Net Techonologies Tanzania Limited</t>
  </si>
  <si>
    <t>dci@cnet.co.tz</t>
  </si>
  <si>
    <t>0658234467 / 0759499967</t>
  </si>
  <si>
    <t>COM001</t>
  </si>
  <si>
    <t>Cats (T) Limited</t>
  </si>
  <si>
    <t>shanit@catsgroup.co.tz</t>
  </si>
  <si>
    <t xml:space="preserve">255687240150 / </t>
  </si>
  <si>
    <t>COM002</t>
  </si>
  <si>
    <t>Computer Connections</t>
  </si>
  <si>
    <t>nazim@computertz.co.tz</t>
  </si>
  <si>
    <t xml:space="preserve">0677046443 / </t>
  </si>
  <si>
    <t>COM003</t>
  </si>
  <si>
    <t>Computer Network and Technology</t>
  </si>
  <si>
    <t>cntech@cntech.co.tz</t>
  </si>
  <si>
    <t>2130343 / 2130344</t>
  </si>
  <si>
    <t>COM006</t>
  </si>
  <si>
    <t>Computer Sales and Services</t>
  </si>
  <si>
    <t>aliraza.jessa@css-tz.com</t>
  </si>
  <si>
    <t xml:space="preserve">255784780942 / </t>
  </si>
  <si>
    <t>COM008</t>
  </si>
  <si>
    <t>Computer Centre Tanzania Limited</t>
  </si>
  <si>
    <t>warrantyadmin@cctz.co.tz</t>
  </si>
  <si>
    <t>2117730 / 0785073376</t>
  </si>
  <si>
    <t>COM011</t>
  </si>
  <si>
    <t>Computronix Centre Limited</t>
  </si>
  <si>
    <t>computronix_c@hotmail.com</t>
  </si>
  <si>
    <t>0744568526 / 0688568526</t>
  </si>
  <si>
    <t>COM014</t>
  </si>
  <si>
    <t>Compucat Technologies Limited</t>
  </si>
  <si>
    <t>jayesh@compucat.net</t>
  </si>
  <si>
    <t>0658999999 / 0784586169</t>
  </si>
  <si>
    <t>COM021</t>
  </si>
  <si>
    <t>Computer Avenue</t>
  </si>
  <si>
    <t>tangaline@hotmail.com</t>
  </si>
  <si>
    <t xml:space="preserve">255754073007 / </t>
  </si>
  <si>
    <t>COM022</t>
  </si>
  <si>
    <t>Computertech Solutions Limited</t>
  </si>
  <si>
    <t>info@cts.co.tz</t>
  </si>
  <si>
    <t>0744299000 / 0754813440</t>
  </si>
  <si>
    <t>COM025</t>
  </si>
  <si>
    <t>Computer Gallery</t>
  </si>
  <si>
    <t>juzerhanan@gmail.com</t>
  </si>
  <si>
    <t>COM030</t>
  </si>
  <si>
    <t>Computer Online</t>
  </si>
  <si>
    <t>computeronline.online@gmail.com</t>
  </si>
  <si>
    <t>0677041990 / 0677041990</t>
  </si>
  <si>
    <t>COP001</t>
  </si>
  <si>
    <t>Copy Cat Tanzania Limited</t>
  </si>
  <si>
    <t>tahera.pirbhai@copycatgroup.co.tz</t>
  </si>
  <si>
    <t>0687014727 / 0687014727</t>
  </si>
  <si>
    <t>COV001</t>
  </si>
  <si>
    <t>Covenant Company (T) Limited</t>
  </si>
  <si>
    <t>tzcovenant@gmail.com</t>
  </si>
  <si>
    <t>0754233717 / 0754233717</t>
  </si>
  <si>
    <t>CPL005</t>
  </si>
  <si>
    <t>Cyber Planet Limited`</t>
  </si>
  <si>
    <t>mustafavak@cyberplanetltd.com</t>
  </si>
  <si>
    <t>0784910444 / 027203078</t>
  </si>
  <si>
    <t>CSL005</t>
  </si>
  <si>
    <t>COMPUFY SOLUTIONS LTD</t>
  </si>
  <si>
    <t>info@compufy.co.tz</t>
  </si>
  <si>
    <t>0717178576 / 0717178576</t>
  </si>
  <si>
    <t>CSS002</t>
  </si>
  <si>
    <t>CSS SOLUTIONS LTD</t>
  </si>
  <si>
    <t>cyrusd@css-solutions.co.tz</t>
  </si>
  <si>
    <t xml:space="preserve">255686277013 / </t>
  </si>
  <si>
    <t>CYB002</t>
  </si>
  <si>
    <t>Cyber Consult (T) LTD</t>
  </si>
  <si>
    <t>bm.msuya@gmail.com</t>
  </si>
  <si>
    <t>0754279050 / 0754279050</t>
  </si>
  <si>
    <t>CYV001</t>
  </si>
  <si>
    <t>Cravyo technology ltd</t>
  </si>
  <si>
    <t>cravyo@gmail.com</t>
  </si>
  <si>
    <t>0744000911 / 0756999902</t>
  </si>
  <si>
    <t>CZEN01</t>
  </si>
  <si>
    <t>CZETAN TECHNOLOGY LTD</t>
  </si>
  <si>
    <t>stanley@czetan.co.tz</t>
  </si>
  <si>
    <t>0679117117 / 069363351</t>
  </si>
  <si>
    <t>DAT002</t>
  </si>
  <si>
    <t>DATACOM CONSULTING GROUP LTD</t>
  </si>
  <si>
    <t>info@datahousetza.com</t>
  </si>
  <si>
    <t>071368095 / 0784221820</t>
  </si>
  <si>
    <t>DCL001</t>
  </si>
  <si>
    <t>DIBRAX COMPANY LIMITED</t>
  </si>
  <si>
    <t>sales@dibrax.com</t>
  </si>
  <si>
    <t xml:space="preserve">0763202101 / </t>
  </si>
  <si>
    <t>DCL006</t>
  </si>
  <si>
    <t>Dals Compay Limited</t>
  </si>
  <si>
    <t>dalscompanylimited@gmail.com</t>
  </si>
  <si>
    <t xml:space="preserve">0718702422 / </t>
  </si>
  <si>
    <t>DCP001</t>
  </si>
  <si>
    <t>DEDACORP COMPANY LIMITED</t>
  </si>
  <si>
    <t>info@dedacorp.co.tz</t>
  </si>
  <si>
    <t xml:space="preserve">255747151590 / </t>
  </si>
  <si>
    <t>DDD105</t>
  </si>
  <si>
    <t>D &amp; D Secutech Solutions</t>
  </si>
  <si>
    <t>ddsecutechsolutions@gmail.com</t>
  </si>
  <si>
    <t>0621568383 / 0788866628</t>
  </si>
  <si>
    <t>DDE001</t>
  </si>
  <si>
    <t>D DESIGNS &amp; SOLUTIONS</t>
  </si>
  <si>
    <t>info@dsolutions.co.tz</t>
  </si>
  <si>
    <t>255784514623 / 255787331110</t>
  </si>
  <si>
    <t>DEC005</t>
  </si>
  <si>
    <t>Diverse Engineering Co. LTD</t>
  </si>
  <si>
    <t>chanhemow@diverse.co.tz</t>
  </si>
  <si>
    <t>0713320112 / 0755211643</t>
  </si>
  <si>
    <t>DEL003</t>
  </si>
  <si>
    <t>DELTA SOLUTIONS COMPANY LIMITED</t>
  </si>
  <si>
    <t>danieledwardtz@gmail.com</t>
  </si>
  <si>
    <t xml:space="preserve">0779959612 / </t>
  </si>
  <si>
    <t>DEL005</t>
  </si>
  <si>
    <t>Delvan Investment</t>
  </si>
  <si>
    <t>Delvaninvestment@gmail.com</t>
  </si>
  <si>
    <t>0686627560 / 0716627560</t>
  </si>
  <si>
    <t>DEN005</t>
  </si>
  <si>
    <t>DENZEL TECHNOLOGY</t>
  </si>
  <si>
    <t>info@denzeltechnology.co.tz</t>
  </si>
  <si>
    <t>0654687119 / 747690009</t>
  </si>
  <si>
    <t>DFC001</t>
  </si>
  <si>
    <t>DFCG INTERNATIONAL LTD</t>
  </si>
  <si>
    <t>dfcgyworld@hotmail.com</t>
  </si>
  <si>
    <t>0754299690 / 0684704240</t>
  </si>
  <si>
    <t>DGL001</t>
  </si>
  <si>
    <t>Darlet Group Limited</t>
  </si>
  <si>
    <t>md@darletgroup.com</t>
  </si>
  <si>
    <t>255784682683 / 255713682683</t>
  </si>
  <si>
    <t>DGS005</t>
  </si>
  <si>
    <t>DIGILINK SOLUTION (TANZANIA) LIMITED</t>
  </si>
  <si>
    <t>digilinksolutionltd@gmail.com</t>
  </si>
  <si>
    <t>0755789122 / 0719638814</t>
  </si>
  <si>
    <t>DGT005</t>
  </si>
  <si>
    <t>DOMAIN GENERAL TRADING LTD</t>
  </si>
  <si>
    <t>domaingeneraltd@gmail.com</t>
  </si>
  <si>
    <t>255745142781 / 255745142781</t>
  </si>
  <si>
    <t>DIG002</t>
  </si>
  <si>
    <t>Digital Brain Co. Ltd</t>
  </si>
  <si>
    <t>mbutho@digitalbraintz.com</t>
  </si>
  <si>
    <t xml:space="preserve">0713427857 / </t>
  </si>
  <si>
    <t>DIL005</t>
  </si>
  <si>
    <t>DILOS INVESTMENT LIMITED</t>
  </si>
  <si>
    <t>dilosinvestment@gmail.com</t>
  </si>
  <si>
    <t>02222121140 / 0783350000</t>
  </si>
  <si>
    <t>DIY001</t>
  </si>
  <si>
    <t>Micro Fast Technologies</t>
  </si>
  <si>
    <t>mfdlinfo@gmail.com</t>
  </si>
  <si>
    <t>0684458322 / 0684458322</t>
  </si>
  <si>
    <t>DIY002</t>
  </si>
  <si>
    <t>DIY LIMITED</t>
  </si>
  <si>
    <t>giri@diy.co.tz</t>
  </si>
  <si>
    <t xml:space="preserve">682606375 / </t>
  </si>
  <si>
    <t>DML001</t>
  </si>
  <si>
    <t>Derm electrics (T) Ltd</t>
  </si>
  <si>
    <t>namwitika@dermtz.com</t>
  </si>
  <si>
    <t>255222774507 / 0713182115</t>
  </si>
  <si>
    <t>DNI001</t>
  </si>
  <si>
    <t>DOT NETWORK INFOTECH SOLUTIONS LTD</t>
  </si>
  <si>
    <t>sales@dotnet-itsolutions.co.tz</t>
  </si>
  <si>
    <t xml:space="preserve">0762521876 / </t>
  </si>
  <si>
    <t>DNS001</t>
  </si>
  <si>
    <t>DNS Solutions &amp; Consultants Ltd</t>
  </si>
  <si>
    <t>huzeifa@dns.co.tz</t>
  </si>
  <si>
    <t xml:space="preserve">0789065056 / </t>
  </si>
  <si>
    <t>DOM001</t>
  </si>
  <si>
    <t>DOMSTAR TRADING AND BUSINESS CONSULTANCY CO LTD</t>
  </si>
  <si>
    <t>domstarbusiness@gmail.com</t>
  </si>
  <si>
    <t>255262323107 / 255717035689</t>
  </si>
  <si>
    <t>DOS001</t>
  </si>
  <si>
    <t>Dostech Computers Limited</t>
  </si>
  <si>
    <t>rosemin@dostechcomputers.com</t>
  </si>
  <si>
    <t>0713311786 / 0754773311</t>
  </si>
  <si>
    <t>DOU001</t>
  </si>
  <si>
    <t>DOUBLE CLICK CONSULTING</t>
  </si>
  <si>
    <t>ali.shariff@doubleclick.co.tz</t>
  </si>
  <si>
    <t xml:space="preserve">+255222112161 / </t>
  </si>
  <si>
    <t>DPS001</t>
  </si>
  <si>
    <t>Dolphin Professional Services Limited</t>
  </si>
  <si>
    <t>sales@dolphin.co.tz</t>
  </si>
  <si>
    <t>0755100437 / 0763527670</t>
  </si>
  <si>
    <t>DSL005</t>
  </si>
  <si>
    <t>Dreamchasers Solutions Limited</t>
  </si>
  <si>
    <t>info@dreamchasers.co.tz</t>
  </si>
  <si>
    <t>0757571785 / 0684111902</t>
  </si>
  <si>
    <t>DTE001</t>
  </si>
  <si>
    <t>D Technology Ltd</t>
  </si>
  <si>
    <t>sales@dtechnology.co.tz</t>
  </si>
  <si>
    <t xml:space="preserve">0713469887 / </t>
  </si>
  <si>
    <t>DUB002</t>
  </si>
  <si>
    <t>Dubai Trading co LTD</t>
  </si>
  <si>
    <t>dubaidsm@yahoo.com</t>
  </si>
  <si>
    <t>0739693772 / 0756005066</t>
  </si>
  <si>
    <t>DUX001</t>
  </si>
  <si>
    <t>DUXTE LIMITED</t>
  </si>
  <si>
    <t>undule@duxte.com</t>
  </si>
  <si>
    <t>0624000444 / +255624000444</t>
  </si>
  <si>
    <t>DVL005</t>
  </si>
  <si>
    <t>DaVinco Limited</t>
  </si>
  <si>
    <t>mike@davinco.co.tz</t>
  </si>
  <si>
    <t xml:space="preserve">+255739125200 / </t>
  </si>
  <si>
    <t>DYN002</t>
  </si>
  <si>
    <t>Dynatech Solutions Ltd</t>
  </si>
  <si>
    <t>neema.othumani@dynatech.co.tz</t>
  </si>
  <si>
    <t>0783265843 / 0715274388</t>
  </si>
  <si>
    <t>EAS002</t>
  </si>
  <si>
    <t>E-ASSOCIATES</t>
  </si>
  <si>
    <t>sznyiti@ee.co.tz</t>
  </si>
  <si>
    <t>0783992131 / 0689444703</t>
  </si>
  <si>
    <t>ECN001</t>
  </si>
  <si>
    <t>Economist Ltd</t>
  </si>
  <si>
    <t>bahati@economist.co.tz</t>
  </si>
  <si>
    <t xml:space="preserve">0715480765 / </t>
  </si>
  <si>
    <t>ECR005</t>
  </si>
  <si>
    <t>EMCRICH INVESTMENT</t>
  </si>
  <si>
    <t>jessehosea@gmail.com</t>
  </si>
  <si>
    <t>0763015673 / 0673649244</t>
  </si>
  <si>
    <t>EDA001</t>
  </si>
  <si>
    <t>EDA SOLUTIONS LIMITED</t>
  </si>
  <si>
    <t>mapundaerasto18@gmail.com</t>
  </si>
  <si>
    <t>0754521000 / 0713029075</t>
  </si>
  <si>
    <t>EDGE01</t>
  </si>
  <si>
    <t>Edge Office Solution (T) Ltd</t>
  </si>
  <si>
    <t>edgeoffice23@gmail.com</t>
  </si>
  <si>
    <t>0717518302 / 0713926062</t>
  </si>
  <si>
    <t>EJM001</t>
  </si>
  <si>
    <t>EJM INTERNATIONAL LIMITED</t>
  </si>
  <si>
    <t>ceo@ejminternationalltd.com</t>
  </si>
  <si>
    <t>255685530002 / 255714264274</t>
  </si>
  <si>
    <t>ELE005</t>
  </si>
  <si>
    <t>ELEWATECH LIMITED</t>
  </si>
  <si>
    <t>info@elewatech.com</t>
  </si>
  <si>
    <t xml:space="preserve">0624012135 / </t>
  </si>
  <si>
    <t>EMC001</t>
  </si>
  <si>
    <t>EMC SYSTEM LIMITED</t>
  </si>
  <si>
    <t>eric@emcsystems.co.tz</t>
  </si>
  <si>
    <t>0222110538 / 0717228712</t>
  </si>
  <si>
    <t>EMT001</t>
  </si>
  <si>
    <t>E &amp; M Technologies Company Ltd</t>
  </si>
  <si>
    <t>Dhyera@gmail.com</t>
  </si>
  <si>
    <t xml:space="preserve">0763520520 / </t>
  </si>
  <si>
    <t>ENG001</t>
  </si>
  <si>
    <t>Engineered Systems Solutions</t>
  </si>
  <si>
    <t>frans@engsys.co.tz</t>
  </si>
  <si>
    <t xml:space="preserve">0754763068 / </t>
  </si>
  <si>
    <t>ENT003</t>
  </si>
  <si>
    <t>Entersoft Systems Ltd</t>
  </si>
  <si>
    <t>eleutheri@entersoft.co.tz</t>
  </si>
  <si>
    <t xml:space="preserve">0713944445 / </t>
  </si>
  <si>
    <t>ESL001</t>
  </si>
  <si>
    <t>EVOLVE SOLUTIONS (T) LTD</t>
  </si>
  <si>
    <t>juhudik@evolvesolutions.co.tz</t>
  </si>
  <si>
    <t>255787292141 / 255787292141</t>
  </si>
  <si>
    <t>ETE005</t>
  </si>
  <si>
    <t>E&amp;T Enterprises LTD</t>
  </si>
  <si>
    <t>alban.robert@gmail.com</t>
  </si>
  <si>
    <t>0714553594 / 0784859978</t>
  </si>
  <si>
    <t>FAB002</t>
  </si>
  <si>
    <t>FABSTECH LIMITED</t>
  </si>
  <si>
    <t>info@fabstech.com</t>
  </si>
  <si>
    <t xml:space="preserve">0753176986 / </t>
  </si>
  <si>
    <t>FBC001</t>
  </si>
  <si>
    <t>Flex Business Consultants Ltd</t>
  </si>
  <si>
    <t>mazalicj@gmail.com</t>
  </si>
  <si>
    <t>0718200010 / 0767200012</t>
  </si>
  <si>
    <t>FIR003</t>
  </si>
  <si>
    <t>FIREBRAND TECHNOLOGIES</t>
  </si>
  <si>
    <t>firebrandtechnologies@gmail.com</t>
  </si>
  <si>
    <t>0713774781 / 0754356281</t>
  </si>
  <si>
    <t>FRE001</t>
  </si>
  <si>
    <t>Freedom Communications</t>
  </si>
  <si>
    <t>alidharamsi@hotmail.com</t>
  </si>
  <si>
    <t xml:space="preserve">0684055755 / </t>
  </si>
  <si>
    <t>FRE003</t>
  </si>
  <si>
    <t>Free Tech (T) LTD</t>
  </si>
  <si>
    <t>raymond@freetechtz.com</t>
  </si>
  <si>
    <t xml:space="preserve">+255784881666 / </t>
  </si>
  <si>
    <t>FRE004</t>
  </si>
  <si>
    <t>Freedom computers limited</t>
  </si>
  <si>
    <t>amir@freedomuhuru.com</t>
  </si>
  <si>
    <t xml:space="preserve">+255686777501 / </t>
  </si>
  <si>
    <t>FSE005</t>
  </si>
  <si>
    <t>Falcon Security Equipment</t>
  </si>
  <si>
    <t>said@falconsecurity.co.tz</t>
  </si>
  <si>
    <t>255774495440 / 0777495440</t>
  </si>
  <si>
    <t>FTN001</t>
  </si>
  <si>
    <t>GT NETWORK SOLUTIONS</t>
  </si>
  <si>
    <t>nasrik9@hotmail.com</t>
  </si>
  <si>
    <t>255788722275 / 255782903511</t>
  </si>
  <si>
    <t>FUN005</t>
  </si>
  <si>
    <t>FORTUNEXT TANZANIA LIMITED</t>
  </si>
  <si>
    <t>info@fortunext.co.tz</t>
  </si>
  <si>
    <t xml:space="preserve">0787388768 / </t>
  </si>
  <si>
    <t>FWL005</t>
  </si>
  <si>
    <t>Fireworks Solutions Ltd</t>
  </si>
  <si>
    <t>fireworkssolutions1@gmail.com</t>
  </si>
  <si>
    <t>0713558910 / 0742340527</t>
  </si>
  <si>
    <t>GAD001</t>
  </si>
  <si>
    <t>Gadgetronix IT</t>
  </si>
  <si>
    <t>sibtain@gadgetronix.net</t>
  </si>
  <si>
    <t>0712100005 / 0763100005</t>
  </si>
  <si>
    <t>GCL005</t>
  </si>
  <si>
    <t>Geomic Company Limited</t>
  </si>
  <si>
    <t>geomiccompany@gmail.com</t>
  </si>
  <si>
    <t>0675898192 / 0675898192</t>
  </si>
  <si>
    <t>GEE001</t>
  </si>
  <si>
    <t>Geek i-Hub</t>
  </si>
  <si>
    <t>johnmutie@gmail.com</t>
  </si>
  <si>
    <t xml:space="preserve">0763258038 / </t>
  </si>
  <si>
    <t>GGB200</t>
  </si>
  <si>
    <t>BIGBEE TECHNOLOGY LTD</t>
  </si>
  <si>
    <t>sales@bigbee.io</t>
  </si>
  <si>
    <t>0222450400 / 0759004747</t>
  </si>
  <si>
    <t>GGC009</t>
  </si>
  <si>
    <t>Gulamali Group Company Limited</t>
  </si>
  <si>
    <t>groupgulamali@gmail.com</t>
  </si>
  <si>
    <t>0754645400 / 0718792963</t>
  </si>
  <si>
    <t>GIC005</t>
  </si>
  <si>
    <t>GESAJO INVESTMENT COMPANY</t>
  </si>
  <si>
    <t>gesajo16@gmail.com</t>
  </si>
  <si>
    <t>0659696649 / 0763654949</t>
  </si>
  <si>
    <t>GIF001</t>
  </si>
  <si>
    <t>Gift Electronics &amp; Associates</t>
  </si>
  <si>
    <t>giftelect@gmail.com</t>
  </si>
  <si>
    <t>0718132203 / 754822822</t>
  </si>
  <si>
    <t>GIG001</t>
  </si>
  <si>
    <t>GIGATECH LIMITED</t>
  </si>
  <si>
    <t>majid1205@gmail.com</t>
  </si>
  <si>
    <t>0684046555 / 0684046555</t>
  </si>
  <si>
    <t>GIG002</t>
  </si>
  <si>
    <t>Giga Tech Company LTD</t>
  </si>
  <si>
    <t>gigatechtz@gmail.com</t>
  </si>
  <si>
    <t>0752456424 / 0713456424</t>
  </si>
  <si>
    <t>GIL005</t>
  </si>
  <si>
    <t>GLOBAL INFOSOFT LIMITED</t>
  </si>
  <si>
    <t>info@globalinfosoft.net</t>
  </si>
  <si>
    <t>788373250 / 788373250</t>
  </si>
  <si>
    <t>GLB001</t>
  </si>
  <si>
    <t>G&amp;L Bright Agency &amp; Services Limited</t>
  </si>
  <si>
    <t>ashleydourado@hotmail.com</t>
  </si>
  <si>
    <t xml:space="preserve">0754267416 / </t>
  </si>
  <si>
    <t>GMI005</t>
  </si>
  <si>
    <t>G-MOBILE INTERNATIONAL (T) LTD</t>
  </si>
  <si>
    <t>Sarah.Komba@gmobile.co.tz</t>
  </si>
  <si>
    <t>9 / 00713432539</t>
  </si>
  <si>
    <t>GOJ001</t>
  </si>
  <si>
    <t>Gojo-Tech ( T ) Limited</t>
  </si>
  <si>
    <t>gojotech@yahoo.com</t>
  </si>
  <si>
    <t>0673742576 / 0756488035</t>
  </si>
  <si>
    <t>GOM005</t>
  </si>
  <si>
    <t>GOMOBILE Tanzania Ltd</t>
  </si>
  <si>
    <t>gomobiletz@gmail.com</t>
  </si>
  <si>
    <t xml:space="preserve">0743319304 / </t>
  </si>
  <si>
    <t>GSP005</t>
  </si>
  <si>
    <t>Gadget Shop</t>
  </si>
  <si>
    <t>info@gadgetshop.co.tz</t>
  </si>
  <si>
    <t>0769777888 / 0799788887</t>
  </si>
  <si>
    <t>GTN001</t>
  </si>
  <si>
    <t>mohdtimmy6729@gmail.com</t>
  </si>
  <si>
    <t>0782903511 / 0788722275</t>
  </si>
  <si>
    <t>GTT001</t>
  </si>
  <si>
    <t>GTT (IT) Consultancy</t>
  </si>
  <si>
    <t>gticonsultancy@gmail.com</t>
  </si>
  <si>
    <t xml:space="preserve">255754279243 / </t>
  </si>
  <si>
    <t>HCL005</t>
  </si>
  <si>
    <t>Hyperion Company Limited</t>
  </si>
  <si>
    <t>sigfridn@gmail.com</t>
  </si>
  <si>
    <t>0718156564 / 0767442379</t>
  </si>
  <si>
    <t>HEL005</t>
  </si>
  <si>
    <t>helsak enterprises ltd</t>
  </si>
  <si>
    <t>helsake@gmail.com</t>
  </si>
  <si>
    <t xml:space="preserve">0652644693 / </t>
  </si>
  <si>
    <t>HHA005</t>
  </si>
  <si>
    <t>H.H.ALIBHAI</t>
  </si>
  <si>
    <t>husseinhalibhai@yaboo.com</t>
  </si>
  <si>
    <t>HKM005</t>
  </si>
  <si>
    <t>Hubert Kairuki Memorial University</t>
  </si>
  <si>
    <t>kairukiuniversity@gmail.com</t>
  </si>
  <si>
    <t>25522270021 / 0629997082</t>
  </si>
  <si>
    <t>HML005</t>
  </si>
  <si>
    <t>HollyMark Limited</t>
  </si>
  <si>
    <t>faraoyonaa@gmail.com</t>
  </si>
  <si>
    <t>0677056064 / 0712031884</t>
  </si>
  <si>
    <t>HMW001</t>
  </si>
  <si>
    <t>Home Woods Ltd</t>
  </si>
  <si>
    <t>abdulrahimnoray@gmail.com</t>
  </si>
  <si>
    <t xml:space="preserve">0683354555 / </t>
  </si>
  <si>
    <t>HPT005</t>
  </si>
  <si>
    <t>Hundred Plus Electronics Technical Solutions</t>
  </si>
  <si>
    <t>mtwange73@gmail.com</t>
  </si>
  <si>
    <t>HSC001</t>
  </si>
  <si>
    <t>HS Computers Ltd</t>
  </si>
  <si>
    <t>suren@hs.co.tz</t>
  </si>
  <si>
    <t>0759032001 / 0715032001</t>
  </si>
  <si>
    <t>HSK001</t>
  </si>
  <si>
    <t>HSK TECHNOLOGIES LTD</t>
  </si>
  <si>
    <t>technologieshsk@gmail.com</t>
  </si>
  <si>
    <t>0679551571 / 0652650646</t>
  </si>
  <si>
    <t>HSL005</t>
  </si>
  <si>
    <t>HAYTECH SYSTEMS LIMITED</t>
  </si>
  <si>
    <t>mdada@haytech.co.tz</t>
  </si>
  <si>
    <t>HTC001</t>
  </si>
  <si>
    <t>HTC AFRICA (T) LIMITED</t>
  </si>
  <si>
    <t>swaleh_pm@htc-tz.com</t>
  </si>
  <si>
    <t>0752795471 / 0715000224</t>
  </si>
  <si>
    <t>IBV005</t>
  </si>
  <si>
    <t>Ibelievable</t>
  </si>
  <si>
    <t>davidvshija@gmail.com</t>
  </si>
  <si>
    <t>0682584917 / 0653919978</t>
  </si>
  <si>
    <t>IDE001</t>
  </si>
  <si>
    <t>Ideal Computers Limited</t>
  </si>
  <si>
    <t>abbas@ideal.co.tz</t>
  </si>
  <si>
    <t>2126701 / 2126702</t>
  </si>
  <si>
    <t>IDE002</t>
  </si>
  <si>
    <t>Ideal Office Supllies Limited</t>
  </si>
  <si>
    <t>sales@idealofficesupplies.co.tz</t>
  </si>
  <si>
    <t>688786148 / 255782786160</t>
  </si>
  <si>
    <t>IGN001</t>
  </si>
  <si>
    <t>IGNITE HOLDINGS LIMITED</t>
  </si>
  <si>
    <t>beichee@beichee.co.tz</t>
  </si>
  <si>
    <t xml:space="preserve">0762493434 / </t>
  </si>
  <si>
    <t>INC009</t>
  </si>
  <si>
    <t>Infrabuild Construction Ltd</t>
  </si>
  <si>
    <t>james.niwagila@gmail.com</t>
  </si>
  <si>
    <t xml:space="preserve">0784925570 / </t>
  </si>
  <si>
    <t>INF001</t>
  </si>
  <si>
    <t>Infosys (T) Limited</t>
  </si>
  <si>
    <t>atupelem@infosys.co.tz</t>
  </si>
  <si>
    <t>0767886623 / 2664221</t>
  </si>
  <si>
    <t>INF004</t>
  </si>
  <si>
    <t>Infosoft Consult</t>
  </si>
  <si>
    <t>sales@infosoftconsult.co.tz</t>
  </si>
  <si>
    <t>0787656708 / 0755656707</t>
  </si>
  <si>
    <t>INF010</t>
  </si>
  <si>
    <t>INFRATEL TECHNOLOGIES CO. LTD</t>
  </si>
  <si>
    <t>info@infratel.co.tz</t>
  </si>
  <si>
    <t>2552221153516 / 255784418318</t>
  </si>
  <si>
    <t>INF015</t>
  </si>
  <si>
    <t>INFOBIT TANZANIA LIMITED</t>
  </si>
  <si>
    <t>sales@infobit.co.tz</t>
  </si>
  <si>
    <t>0714578323 / 0784171957</t>
  </si>
  <si>
    <t>INT002</t>
  </si>
  <si>
    <t>Intercom systems (T) Ltd.</t>
  </si>
  <si>
    <t>sales@intercomsystem.co.tz</t>
  </si>
  <si>
    <t>0673221933 / 0762921518</t>
  </si>
  <si>
    <t>INV001</t>
  </si>
  <si>
    <t>Inventions Limited (TCRA LICENSED)</t>
  </si>
  <si>
    <t>sales@it.co.tz</t>
  </si>
  <si>
    <t>0757579684 / 0712792779</t>
  </si>
  <si>
    <t>INV002</t>
  </si>
  <si>
    <t>INVENTIONS TECHNOLOGIES CO LTD</t>
  </si>
  <si>
    <t>judith.david@it.co.tz</t>
  </si>
  <si>
    <t xml:space="preserve">255683358177 / </t>
  </si>
  <si>
    <t>IPK001</t>
  </si>
  <si>
    <t>ICTPACK SOLUTIONS LIMITED</t>
  </si>
  <si>
    <t>stebbins@ictpack.com</t>
  </si>
  <si>
    <t>ITL002</t>
  </si>
  <si>
    <t>Infogear Technology Limited</t>
  </si>
  <si>
    <t>laila@infogear.co.tz</t>
  </si>
  <si>
    <t>0715303132 / 0786753452</t>
  </si>
  <si>
    <t>ITL205</t>
  </si>
  <si>
    <t>Impact Technologies Limited</t>
  </si>
  <si>
    <t>nadeem@impacttechafrica.com</t>
  </si>
  <si>
    <t>684019646 / 684920429</t>
  </si>
  <si>
    <t>ITS002</t>
  </si>
  <si>
    <t>ITSL Ltd</t>
  </si>
  <si>
    <t>rajnish.ranjan@itsl.in</t>
  </si>
  <si>
    <t>0712573721 / 0753573721</t>
  </si>
  <si>
    <t>ITS005</t>
  </si>
  <si>
    <t>INFINITECH Solutions</t>
  </si>
  <si>
    <t>mkermali94@gmail.com</t>
  </si>
  <si>
    <t xml:space="preserve">0763057056 / </t>
  </si>
  <si>
    <t>IVA001</t>
  </si>
  <si>
    <t>IVATECH INFORMATICS LIMITED</t>
  </si>
  <si>
    <t>ivatech@ivatechtz.com</t>
  </si>
  <si>
    <t>0657727257 / 0788222899</t>
  </si>
  <si>
    <t>IVO001</t>
  </si>
  <si>
    <t>IVO SOLUTIONS LIMITED</t>
  </si>
  <si>
    <t>service@ivosolutions.co.tz</t>
  </si>
  <si>
    <t xml:space="preserve">0683195412 / </t>
  </si>
  <si>
    <t>IVO002</t>
  </si>
  <si>
    <t>IVO SOLUTIONS LIMITED(HIK VISION)</t>
  </si>
  <si>
    <t>everlight@ivosolutions.co.tz</t>
  </si>
  <si>
    <t>0712001236 / 0689845919</t>
  </si>
  <si>
    <t>IYK005</t>
  </si>
  <si>
    <t>Innosykes computers &amp; accessories co ltd</t>
  </si>
  <si>
    <t>inno0582@gmail.com</t>
  </si>
  <si>
    <t xml:space="preserve">0717058295 / </t>
  </si>
  <si>
    <t>J5I001</t>
  </si>
  <si>
    <t>J5 Investment and General Supplies</t>
  </si>
  <si>
    <t>jowency@yahoo.co.uk</t>
  </si>
  <si>
    <t xml:space="preserve">0713404643 / </t>
  </si>
  <si>
    <t>JAL003</t>
  </si>
  <si>
    <t>JALI COMMUNICATIONS</t>
  </si>
  <si>
    <t>jalicommunications@yahoo.com</t>
  </si>
  <si>
    <t>0768337328 / 0738261438</t>
  </si>
  <si>
    <t>JAP001</t>
  </si>
  <si>
    <t>JAP Resources Limited</t>
  </si>
  <si>
    <t>info@japresources.co.tz</t>
  </si>
  <si>
    <t xml:space="preserve">0739392020 / </t>
  </si>
  <si>
    <t>JCL005</t>
  </si>
  <si>
    <t>JESAE COMPANY LIMITED</t>
  </si>
  <si>
    <t>jesaecompany@gmail.com</t>
  </si>
  <si>
    <t>0766112040 / 0766112040</t>
  </si>
  <si>
    <t>JHT001</t>
  </si>
  <si>
    <t>JH TECHNOLOGIES &amp; SUPPLIES LTD</t>
  </si>
  <si>
    <t>jane.walwa@jhtechnologies.co.tz</t>
  </si>
  <si>
    <t>0754275608 / 0715233388</t>
  </si>
  <si>
    <t>JOA005</t>
  </si>
  <si>
    <t>J.O AGGREY MATERIALS SERVICE</t>
  </si>
  <si>
    <t>jo.materials@yahoo.com</t>
  </si>
  <si>
    <t>0713573737 / 0754573737</t>
  </si>
  <si>
    <t>K2T001</t>
  </si>
  <si>
    <t>K2 Technology Limited</t>
  </si>
  <si>
    <t>info@k2technology.co.tz</t>
  </si>
  <si>
    <t>0765837543 / 0687154592</t>
  </si>
  <si>
    <t>KAS002</t>
  </si>
  <si>
    <t>Kasumo Designs (T) Ltd</t>
  </si>
  <si>
    <t>info@kasumo.co.tz</t>
  </si>
  <si>
    <t>0754295881 / 0222667333</t>
  </si>
  <si>
    <t>KAS003</t>
  </si>
  <si>
    <t>KAS Electronics Ltd</t>
  </si>
  <si>
    <t>electronicskas@yahoo.com</t>
  </si>
  <si>
    <t>0784238333 / 0716340336</t>
  </si>
  <si>
    <t>KBB001</t>
  </si>
  <si>
    <t>KIMBALE BUSINESS SOLUTIONS LIMITED</t>
  </si>
  <si>
    <t>kimbalebusinesssolutions@yahoo.com</t>
  </si>
  <si>
    <t>0742655765 / 0783795952</t>
  </si>
  <si>
    <t>KIB005</t>
  </si>
  <si>
    <t>KIBARA GENERAL SUPPLIES</t>
  </si>
  <si>
    <t>tungaraza78@gmail.com</t>
  </si>
  <si>
    <t xml:space="preserve">0754278574 / </t>
  </si>
  <si>
    <t>KIL002</t>
  </si>
  <si>
    <t>Kilihost Ltd</t>
  </si>
  <si>
    <t>waseem@kilihost.com</t>
  </si>
  <si>
    <t>255788557786 / 255788557786</t>
  </si>
  <si>
    <t>KIN001</t>
  </si>
  <si>
    <t>Kingstar Trading Company Limited</t>
  </si>
  <si>
    <t>info@kingstartz.com</t>
  </si>
  <si>
    <t>0754293818 / 0714044497</t>
  </si>
  <si>
    <t>KIV001</t>
  </si>
  <si>
    <t>KIVUKO ONLINE LIMITED</t>
  </si>
  <si>
    <t>nurujm@kivuko.com</t>
  </si>
  <si>
    <t>0785778477 / 0763778477</t>
  </si>
  <si>
    <t>KMA005</t>
  </si>
  <si>
    <t>Kamang Investment</t>
  </si>
  <si>
    <t>samora.salema@gmail.com</t>
  </si>
  <si>
    <t xml:space="preserve">+255 75 42702 / </t>
  </si>
  <si>
    <t>KNM005</t>
  </si>
  <si>
    <t>KNM INTERCON LTD</t>
  </si>
  <si>
    <t>nkonze@knm.co.tz</t>
  </si>
  <si>
    <t>0739202255 / 0713293398</t>
  </si>
  <si>
    <t>KOO002</t>
  </si>
  <si>
    <t>Kool Techware Limited</t>
  </si>
  <si>
    <t>admin@kooltechware.com</t>
  </si>
  <si>
    <t>255785933377 / 255785933377</t>
  </si>
  <si>
    <t>KOT001</t>
  </si>
  <si>
    <t>KOTES (T) LIMITED</t>
  </si>
  <si>
    <t>info@kotes.co.tz</t>
  </si>
  <si>
    <t>0753336161 / 0713440881</t>
  </si>
  <si>
    <t>LCL105</t>
  </si>
  <si>
    <t>Limukitech Company Ltd</t>
  </si>
  <si>
    <t>joseph.mariagoreth@yahoo.com</t>
  </si>
  <si>
    <t xml:space="preserve">0766884339 / </t>
  </si>
  <si>
    <t>LGS005</t>
  </si>
  <si>
    <t>Leyaro general supply</t>
  </si>
  <si>
    <t>robertmathias77@gmail.com</t>
  </si>
  <si>
    <t>0763206060 / 0788206060</t>
  </si>
  <si>
    <t>LIN001</t>
  </si>
  <si>
    <t>Link-Tech Company Ltd</t>
  </si>
  <si>
    <t>wilson.nassari@linktech.co.tz</t>
  </si>
  <si>
    <t>0717007797 / 0787255353</t>
  </si>
  <si>
    <t>LIS105</t>
  </si>
  <si>
    <t>Legendary IT Solutions</t>
  </si>
  <si>
    <t>sarfaraz@legendaryits.com</t>
  </si>
  <si>
    <t>0754025098 / 0754025098</t>
  </si>
  <si>
    <t>LIV001</t>
  </si>
  <si>
    <t>LIVE SOLUTIONS LIMITED</t>
  </si>
  <si>
    <t>ram@livesolutions.co.tz</t>
  </si>
  <si>
    <t>LNK005</t>
  </si>
  <si>
    <t>LINK CONNECTION LIMITED</t>
  </si>
  <si>
    <t>sales@linkconnection.co.tz</t>
  </si>
  <si>
    <t>0742900018 / 0716090018</t>
  </si>
  <si>
    <t>LTH001</t>
  </si>
  <si>
    <t>LOLUTECH LIMITED</t>
  </si>
  <si>
    <t>linusmkoningo@lolutech.com</t>
  </si>
  <si>
    <t xml:space="preserve">0684655353 / </t>
  </si>
  <si>
    <t>LVE005</t>
  </si>
  <si>
    <t>Levi Electronics</t>
  </si>
  <si>
    <t>levictronics@gmail.com</t>
  </si>
  <si>
    <t xml:space="preserve">0657671613 / </t>
  </si>
  <si>
    <t>MAH001</t>
  </si>
  <si>
    <t>MAHDI COMPUTERS</t>
  </si>
  <si>
    <t>Techmindtz@gmail.com</t>
  </si>
  <si>
    <t>0782230123 / 0713230123</t>
  </si>
  <si>
    <t>MAI001</t>
  </si>
  <si>
    <t>Maisha Computers</t>
  </si>
  <si>
    <t>saimagothey@hotmail.com</t>
  </si>
  <si>
    <t>255715404040 / 2122410</t>
  </si>
  <si>
    <t>MAR003</t>
  </si>
  <si>
    <t>Marunda &amp; Sons General Supplies</t>
  </si>
  <si>
    <t>marunda1@yahoo.com</t>
  </si>
  <si>
    <t>0739693772 / 0655693772</t>
  </si>
  <si>
    <t>MAR005</t>
  </si>
  <si>
    <t>Mars Computers Ltd</t>
  </si>
  <si>
    <t>renovatusm@gmail.com</t>
  </si>
  <si>
    <t>0784800633 / 0714929224</t>
  </si>
  <si>
    <t>MAS001</t>
  </si>
  <si>
    <t>Masumini Printways &amp; Stationery Limited</t>
  </si>
  <si>
    <t>ali@masumin.co.tz</t>
  </si>
  <si>
    <t xml:space="preserve">0787333007 / </t>
  </si>
  <si>
    <t>MAT005</t>
  </si>
  <si>
    <t>MATHEOS TECHS</t>
  </si>
  <si>
    <t>theobaldbm@matheostechs.co.tz</t>
  </si>
  <si>
    <t>0757040453 / 0624059005</t>
  </si>
  <si>
    <t>MAT007</t>
  </si>
  <si>
    <t>MATA TRADERS LTD</t>
  </si>
  <si>
    <t>AliakberT53@gmail.com</t>
  </si>
  <si>
    <t xml:space="preserve">0682400452 / </t>
  </si>
  <si>
    <t>MAV005</t>
  </si>
  <si>
    <t>MAVONGATECH LIMITED</t>
  </si>
  <si>
    <t>mail@mavonga.co.tz</t>
  </si>
  <si>
    <t>0754338792 / 0754338792</t>
  </si>
  <si>
    <t>MAX001</t>
  </si>
  <si>
    <t>Maxima Solutions LTD</t>
  </si>
  <si>
    <t>support@maxima.co.tz</t>
  </si>
  <si>
    <t>0787999921 / 0752459814</t>
  </si>
  <si>
    <t>MCS001</t>
  </si>
  <si>
    <t>MICRO SKILL (T) LTD</t>
  </si>
  <si>
    <t>microskill.tz@gmail.com</t>
  </si>
  <si>
    <t>0785453001 / 0773453001</t>
  </si>
  <si>
    <t>MED002</t>
  </si>
  <si>
    <t>MEDIA TECHNOLOGIES LTD</t>
  </si>
  <si>
    <t>mtl@mediawala.com</t>
  </si>
  <si>
    <t>0784636363 / 0784636363</t>
  </si>
  <si>
    <t>MEH001</t>
  </si>
  <si>
    <t>Mehrallies Limited</t>
  </si>
  <si>
    <t>info@mehrallies.co.tz</t>
  </si>
  <si>
    <t>255784617050 / 255222120979</t>
  </si>
  <si>
    <t>MEN005</t>
  </si>
  <si>
    <t>MODULAR ENTERPRISES</t>
  </si>
  <si>
    <t>supplies@modularenterprises.co.tz</t>
  </si>
  <si>
    <t>0788806020 / 0222122996</t>
  </si>
  <si>
    <t>MER009</t>
  </si>
  <si>
    <t>Mercury Trading Ltd</t>
  </si>
  <si>
    <t>nlema25@mial.com</t>
  </si>
  <si>
    <t>0682121281 / 0739597442</t>
  </si>
  <si>
    <t>MFH001</t>
  </si>
  <si>
    <t>MfalmeHost</t>
  </si>
  <si>
    <t>johnmutie@mfalmehost.com</t>
  </si>
  <si>
    <t xml:space="preserve">0735113335 / </t>
  </si>
  <si>
    <t>MFI001</t>
  </si>
  <si>
    <t>MFI Office Solutions (T) Limited</t>
  </si>
  <si>
    <t>n.david@groupmfi.com</t>
  </si>
  <si>
    <t>0653989969 / 0653989969</t>
  </si>
  <si>
    <t>MFI002</t>
  </si>
  <si>
    <t>MFI DOCUMENT SOLUTIONS LTD</t>
  </si>
  <si>
    <t>k.jeevan@groupmfi.com</t>
  </si>
  <si>
    <t>0689417464 / 0689417464</t>
  </si>
  <si>
    <t>MIC004</t>
  </si>
  <si>
    <t>Mica Computers Service Ltd</t>
  </si>
  <si>
    <t>leila@micacomputers.com</t>
  </si>
  <si>
    <t>255788275385 / 255755733357</t>
  </si>
  <si>
    <t>MIC006</t>
  </si>
  <si>
    <t>Microtelecomms Ltd</t>
  </si>
  <si>
    <t>sales@microtelecomms.com</t>
  </si>
  <si>
    <t>0767289245 / 0689602202</t>
  </si>
  <si>
    <t>MIF005</t>
  </si>
  <si>
    <t>MIFUMOTZ CO LTD</t>
  </si>
  <si>
    <t>eliezer.kyomo@mifumotz.com</t>
  </si>
  <si>
    <t xml:space="preserve">255752350620 / </t>
  </si>
  <si>
    <t>MKT005</t>
  </si>
  <si>
    <t>Mikatech Computers</t>
  </si>
  <si>
    <t>mikatechcomputers@gmail.com</t>
  </si>
  <si>
    <t>+255713512527 / +255 71351252</t>
  </si>
  <si>
    <t>MOD001</t>
  </si>
  <si>
    <t>One2one ltd</t>
  </si>
  <si>
    <t>manish@mcc.co.tz</t>
  </si>
  <si>
    <t xml:space="preserve">0777431973 / </t>
  </si>
  <si>
    <t>MOT001</t>
  </si>
  <si>
    <t>MOTO INVESTMENTS</t>
  </si>
  <si>
    <t>motoinvest@netscape.net</t>
  </si>
  <si>
    <t xml:space="preserve">0767621458 / </t>
  </si>
  <si>
    <t>MSL001</t>
  </si>
  <si>
    <t>MWASONGA SERVICES LIMITED</t>
  </si>
  <si>
    <t>gsteven@mwasongaservices.co.tz</t>
  </si>
  <si>
    <t>0757085828 / 0735710700</t>
  </si>
  <si>
    <t>MSM001</t>
  </si>
  <si>
    <t>M.S.MEGJI</t>
  </si>
  <si>
    <t>khalildada@hotmail.com</t>
  </si>
  <si>
    <t xml:space="preserve">0713225922 / </t>
  </si>
  <si>
    <t>MTE004</t>
  </si>
  <si>
    <t>MLATIE ENTERPRISES</t>
  </si>
  <si>
    <t>tumainiminja61@hotmail.com</t>
  </si>
  <si>
    <t>0713154085 / 0754298450</t>
  </si>
  <si>
    <t>MTL005</t>
  </si>
  <si>
    <t>Macroteq Ltd</t>
  </si>
  <si>
    <t>mukhsinmush@gmail.com</t>
  </si>
  <si>
    <t>255714281313 / 255753651541</t>
  </si>
  <si>
    <t>MUB003</t>
  </si>
  <si>
    <t>Mubaraka Trading Co. Ltd</t>
  </si>
  <si>
    <t>yusuf52onali@gmail.com</t>
  </si>
  <si>
    <t>255784355606 / 255717786252</t>
  </si>
  <si>
    <t>MUS003</t>
  </si>
  <si>
    <t>MUSTAFA HASSANALI (HIK VISION)</t>
  </si>
  <si>
    <t>hassanalielectronic@gmail.com</t>
  </si>
  <si>
    <t>0272646570 / 0682626262</t>
  </si>
  <si>
    <t>MVT005</t>
  </si>
  <si>
    <t>MOVIC TECHNOLOGIES</t>
  </si>
  <si>
    <t>deltech2010@gmail.com</t>
  </si>
  <si>
    <t>0784484356 / 0784484356</t>
  </si>
  <si>
    <t>NAC005</t>
  </si>
  <si>
    <t>NA7E-TECHNOLOGY COMPANY LIMITED</t>
  </si>
  <si>
    <t>ellynassary83@gmail.com</t>
  </si>
  <si>
    <t>0786713368 / 0786713368</t>
  </si>
  <si>
    <t>NAT005</t>
  </si>
  <si>
    <t>NASTECH TECHNOLOGIES</t>
  </si>
  <si>
    <t>aboudjk@gmail.com</t>
  </si>
  <si>
    <t>0656811664 / 0685444999</t>
  </si>
  <si>
    <t>NBY001</t>
  </si>
  <si>
    <t>NextByte ICT Solution Ltd</t>
  </si>
  <si>
    <t>j.kazaura@nextbyte.co.tz</t>
  </si>
  <si>
    <t>0718555860 / 0788330308</t>
  </si>
  <si>
    <t>NCE005</t>
  </si>
  <si>
    <t>NetCom Equipment Tanzania Limited</t>
  </si>
  <si>
    <t>booker0405@gmaii.com</t>
  </si>
  <si>
    <t>0735289024 / 0756289024</t>
  </si>
  <si>
    <t>NCL001</t>
  </si>
  <si>
    <t>Namis Corporate Limited</t>
  </si>
  <si>
    <t>john.uiso@namiscorporate.com</t>
  </si>
  <si>
    <t xml:space="preserve">0659610210 / </t>
  </si>
  <si>
    <t>NCO001</t>
  </si>
  <si>
    <t>NCOMPASS COMPUTER TECHNOLOGIES COMPANY</t>
  </si>
  <si>
    <t>info@ncompass.co.tz</t>
  </si>
  <si>
    <t xml:space="preserve">0758875753 / </t>
  </si>
  <si>
    <t>NET009</t>
  </si>
  <si>
    <t>NETONE TECHNOLOGIES  LIMITED</t>
  </si>
  <si>
    <t>mandeep@netone.co.tz</t>
  </si>
  <si>
    <t>0683260422 / 0676174186</t>
  </si>
  <si>
    <t>NET011</t>
  </si>
  <si>
    <t>NETMIND TECHNOLOGIES</t>
  </si>
  <si>
    <t>adam@netmindtz.com</t>
  </si>
  <si>
    <t>0713449725 / 0765449725</t>
  </si>
  <si>
    <t>NEX003</t>
  </si>
  <si>
    <t>NEXT DIGITAL</t>
  </si>
  <si>
    <t>pendoankrah@gmail.com</t>
  </si>
  <si>
    <t>0783123715 / +255 659 6414</t>
  </si>
  <si>
    <t>NIT003</t>
  </si>
  <si>
    <t>NITI DISTRIBUTORS LIMITED</t>
  </si>
  <si>
    <t>salestz@nitimea.com</t>
  </si>
  <si>
    <t>0783876824 / 0783876824</t>
  </si>
  <si>
    <t>NOR001</t>
  </si>
  <si>
    <t>Nordic Computers Ltd</t>
  </si>
  <si>
    <t>sales@nordic.co.tz</t>
  </si>
  <si>
    <t>NOV001</t>
  </si>
  <si>
    <t>Nova Computers</t>
  </si>
  <si>
    <t>info@nova.co.tz</t>
  </si>
  <si>
    <t xml:space="preserve">0782151333 / </t>
  </si>
  <si>
    <t>NTC005</t>
  </si>
  <si>
    <t>Nisqo Technologies Company Limited</t>
  </si>
  <si>
    <t>nisile@nisqotech.com</t>
  </si>
  <si>
    <t>0758707370 / 0714111991</t>
  </si>
  <si>
    <t>NXE005</t>
  </si>
  <si>
    <t>Nextcom Enterprises Co,.Ltd</t>
  </si>
  <si>
    <t>nextcomenterprises@gmail.com</t>
  </si>
  <si>
    <t>8310888 / 0658310888</t>
  </si>
  <si>
    <t>OFF001</t>
  </si>
  <si>
    <t>Office Depot Limited</t>
  </si>
  <si>
    <t>annar@officedepot.co.tz</t>
  </si>
  <si>
    <t>0682730020 / 0782600630</t>
  </si>
  <si>
    <t>OFF002</t>
  </si>
  <si>
    <t>Office Solutions Limited</t>
  </si>
  <si>
    <t>deo@solutionstz.com</t>
  </si>
  <si>
    <t>0784780032 / 0784780032</t>
  </si>
  <si>
    <t>OFF004</t>
  </si>
  <si>
    <t>Office Mart (TZ) Ltd</t>
  </si>
  <si>
    <t>sales@officemart.co.tz</t>
  </si>
  <si>
    <t>767629638 / 767629638</t>
  </si>
  <si>
    <t>OGE005</t>
  </si>
  <si>
    <t>OGEFREM</t>
  </si>
  <si>
    <t>musa.j@dhanushinftech.net</t>
  </si>
  <si>
    <t>0786670172 / 0757300968</t>
  </si>
  <si>
    <t>OLL005</t>
  </si>
  <si>
    <t>Oli Loop Limited</t>
  </si>
  <si>
    <t>karimkalunga@oliloop.com</t>
  </si>
  <si>
    <t>0628737816 / 0764486983</t>
  </si>
  <si>
    <t>OPT002</t>
  </si>
  <si>
    <t>OPTIMAL ENTERPRISES</t>
  </si>
  <si>
    <t>optimal.ent@yahoo.com</t>
  </si>
  <si>
    <t>0683554477 / 0755554477</t>
  </si>
  <si>
    <t>ORA001</t>
  </si>
  <si>
    <t>Orange Technologies Limited</t>
  </si>
  <si>
    <t>amreen.mirza@orange.co.tz</t>
  </si>
  <si>
    <t>0785888805 / 255222116123</t>
  </si>
  <si>
    <t>ORC001</t>
  </si>
  <si>
    <t>Omni Computers Limited</t>
  </si>
  <si>
    <t>aysha@omni.co.tz</t>
  </si>
  <si>
    <t xml:space="preserve">2110568 / </t>
  </si>
  <si>
    <t>ORE001</t>
  </si>
  <si>
    <t>Orel Digital Technologies</t>
  </si>
  <si>
    <t>orelsalestz@gmail.com</t>
  </si>
  <si>
    <t>0768927258 / 0718217167</t>
  </si>
  <si>
    <t>OTL005</t>
  </si>
  <si>
    <t>OPTA TECHNOLOGIES LTD</t>
  </si>
  <si>
    <t>sales@optatech.co.tz</t>
  </si>
  <si>
    <t>255782366609 / 255718308878</t>
  </si>
  <si>
    <t>OTZ005</t>
  </si>
  <si>
    <t>Optech Tanzania Limited</t>
  </si>
  <si>
    <t>rkyara86@gmail.com</t>
  </si>
  <si>
    <t xml:space="preserve">0767093998 / </t>
  </si>
  <si>
    <t>P5001</t>
  </si>
  <si>
    <t>P5 Company Limited</t>
  </si>
  <si>
    <t>venders@dukakuu.com</t>
  </si>
  <si>
    <t>0757960000 / 0746000035</t>
  </si>
  <si>
    <t>PCM001</t>
  </si>
  <si>
    <t>PCMART LTD</t>
  </si>
  <si>
    <t>info@pcmart.co.tz</t>
  </si>
  <si>
    <t>0754786654 / 0759786654</t>
  </si>
  <si>
    <t>PEL004</t>
  </si>
  <si>
    <t>PELEFINA INVESTMENT CO. LTD</t>
  </si>
  <si>
    <t>pelefinaltd@gmail.com</t>
  </si>
  <si>
    <t>0673666130 / 0676148137</t>
  </si>
  <si>
    <t>PIE001</t>
  </si>
  <si>
    <t>Pier Consulting Co. Ltd</t>
  </si>
  <si>
    <t>info@pierconsult.co.tz</t>
  </si>
  <si>
    <t>0755759274 / 0715759274</t>
  </si>
  <si>
    <t>PIL005</t>
  </si>
  <si>
    <t>Planet Infra Limited</t>
  </si>
  <si>
    <t>kalva@planetinfraltd.co.tz</t>
  </si>
  <si>
    <t>0789901999 / 0784899688</t>
  </si>
  <si>
    <t>PIL200</t>
  </si>
  <si>
    <t>Pace Informatics limited</t>
  </si>
  <si>
    <t>jatin@pace.co.tz</t>
  </si>
  <si>
    <t>0684563663 / 0713241802</t>
  </si>
  <si>
    <t>PLV001</t>
  </si>
  <si>
    <t>PLV Digital Investment Ltd</t>
  </si>
  <si>
    <t>peter@plvdigital.co.tz</t>
  </si>
  <si>
    <t>0784777737 / 222135834</t>
  </si>
  <si>
    <t>POW001</t>
  </si>
  <si>
    <t>Power Computers</t>
  </si>
  <si>
    <t>mary@powercomputers.co.tz</t>
  </si>
  <si>
    <t>0782769370 / 0787606000</t>
  </si>
  <si>
    <t>PRA001</t>
  </si>
  <si>
    <t>Pran Pen Corner Ltd</t>
  </si>
  <si>
    <t>support@ppcl.co.tz</t>
  </si>
  <si>
    <t xml:space="preserve">0715747747 / </t>
  </si>
  <si>
    <t>PRO002</t>
  </si>
  <si>
    <t>Protus Technology Solutions (T) Ltd</t>
  </si>
  <si>
    <t>protustz@gmail.com</t>
  </si>
  <si>
    <t>0657242185 / 0692432983</t>
  </si>
  <si>
    <t>PTT005</t>
  </si>
  <si>
    <t>Penguin Technologies Tanzania Limited</t>
  </si>
  <si>
    <t>mbalama@penguintechnologies.co.tz</t>
  </si>
  <si>
    <t>255712932740 / 255743708474</t>
  </si>
  <si>
    <t>PTT007</t>
  </si>
  <si>
    <t>PLATLINK TECHNOLOGIES(T)COMPANY LTD</t>
  </si>
  <si>
    <t>platlink83@gmail.com</t>
  </si>
  <si>
    <t>0627614296 / 0755479269</t>
  </si>
  <si>
    <t>RAC001</t>
  </si>
  <si>
    <t>Rack Systems</t>
  </si>
  <si>
    <t>sales@rack-systems-ltd.com</t>
  </si>
  <si>
    <t xml:space="preserve">+255784757799 / </t>
  </si>
  <si>
    <t>RAI001</t>
  </si>
  <si>
    <t>Raid Technologies</t>
  </si>
  <si>
    <t>habib@raid.co.tz</t>
  </si>
  <si>
    <t>0769415982 / 0656415982</t>
  </si>
  <si>
    <t>RAN001</t>
  </si>
  <si>
    <t>Rana Technologies Ltd</t>
  </si>
  <si>
    <t>info@rana.co.tz</t>
  </si>
  <si>
    <t>0767888566 / 0754710612</t>
  </si>
  <si>
    <t>RCS001</t>
  </si>
  <si>
    <t>RIGGTECH SOLUTION COMPANY LIMITED</t>
  </si>
  <si>
    <t>gladyes2006@gmail.COM</t>
  </si>
  <si>
    <t>0653065602 / 0714205372</t>
  </si>
  <si>
    <t>RCT001</t>
  </si>
  <si>
    <t>Reviesoft Computer Technology</t>
  </si>
  <si>
    <t>info@reviesoft.co.tz</t>
  </si>
  <si>
    <t>255764601453 / 255764601453</t>
  </si>
  <si>
    <t>REJ005</t>
  </si>
  <si>
    <t>Rej stationery</t>
  </si>
  <si>
    <t>rejstationery@gmail.com</t>
  </si>
  <si>
    <t>0714375235 / 0757876899</t>
  </si>
  <si>
    <t>RMA001</t>
  </si>
  <si>
    <t>Romastas Enterprises</t>
  </si>
  <si>
    <t>romastas1989@gmail.com</t>
  </si>
  <si>
    <t>0739826227 / 0713619636</t>
  </si>
  <si>
    <t>RTS005</t>
  </si>
  <si>
    <t>Rhinotech Solution</t>
  </si>
  <si>
    <t>ibrajelejeza@gmail.com</t>
  </si>
  <si>
    <t>SAF003</t>
  </si>
  <si>
    <t>Safe Computers ICT &amp; Services Providers [T] Ltd</t>
  </si>
  <si>
    <t>chris@safecomputing.co.tz</t>
  </si>
  <si>
    <t>0684203025 / 0755324748</t>
  </si>
  <si>
    <t>SAT001</t>
  </si>
  <si>
    <t>SatCom Networks Africa Limited</t>
  </si>
  <si>
    <t>bhavesh.bhatt@satconet.co.tz</t>
  </si>
  <si>
    <t xml:space="preserve">0786120005 / </t>
  </si>
  <si>
    <t>SBS005</t>
  </si>
  <si>
    <t>SoftBank Business Services</t>
  </si>
  <si>
    <t>advisory.sbtz@outlook.com</t>
  </si>
  <si>
    <t>0766037949 / 0766037949</t>
  </si>
  <si>
    <t>SCI001</t>
  </si>
  <si>
    <t>SCI Tanzania Limited</t>
  </si>
  <si>
    <t>robert@sci.co.tz</t>
  </si>
  <si>
    <t xml:space="preserve">0757815669 / </t>
  </si>
  <si>
    <t>SDL005</t>
  </si>
  <si>
    <t>Space Distribution LTD</t>
  </si>
  <si>
    <t>spacedistributionltd@gmail.com</t>
  </si>
  <si>
    <t>0682024616 / 0756939999</t>
  </si>
  <si>
    <t>SDS001</t>
  </si>
  <si>
    <t>SATHI DIGITECH SOLUTION LIMITED</t>
  </si>
  <si>
    <t>sdsl@sdsl.co.tz</t>
  </si>
  <si>
    <t>0685600942 / 0620786110</t>
  </si>
  <si>
    <t>SER005</t>
  </si>
  <si>
    <t>SERENSIC LTD</t>
  </si>
  <si>
    <t>ben@serensic.com</t>
  </si>
  <si>
    <t>0715100110 / 0683144573</t>
  </si>
  <si>
    <t>SHA002</t>
  </si>
  <si>
    <t>Shayona Technology</t>
  </si>
  <si>
    <t>sudramji@gmail.com</t>
  </si>
  <si>
    <t>255783338338 / 255689666667</t>
  </si>
  <si>
    <t>SHI002</t>
  </si>
  <si>
    <t>Shiv International Ltd</t>
  </si>
  <si>
    <t>umesh.bangur@shivgroup.org</t>
  </si>
  <si>
    <t xml:space="preserve">0786574574 / </t>
  </si>
  <si>
    <t>SHK005</t>
  </si>
  <si>
    <t>SHK TRADLINK TZ LTD</t>
  </si>
  <si>
    <t>sunilshktz@gmail.com</t>
  </si>
  <si>
    <t>787073950 / 787073950</t>
  </si>
  <si>
    <t>SIH001</t>
  </si>
  <si>
    <t>Sihebs Technologies ltd</t>
  </si>
  <si>
    <t>info@sihebs.co.tz</t>
  </si>
  <si>
    <t>255754710722 / 255719710722</t>
  </si>
  <si>
    <t>SIL003</t>
  </si>
  <si>
    <t>Sazuna International Limited</t>
  </si>
  <si>
    <t>sadiq@sazuna.co.tz</t>
  </si>
  <si>
    <t>0782210210 / 0782600900</t>
  </si>
  <si>
    <t>SIM001</t>
  </si>
  <si>
    <t>Simply Computers</t>
  </si>
  <si>
    <t>abbas@simplytz.com</t>
  </si>
  <si>
    <t xml:space="preserve">0786116660 / </t>
  </si>
  <si>
    <t>SIM005</t>
  </si>
  <si>
    <t>Sim Electrocom (T) Ltd</t>
  </si>
  <si>
    <t>info@sim.co.tz</t>
  </si>
  <si>
    <t xml:space="preserve">0714622886 / </t>
  </si>
  <si>
    <t>SIT001</t>
  </si>
  <si>
    <t>Specialised IT Solutions (T) Ltd</t>
  </si>
  <si>
    <t>akshat@theebazaar.com</t>
  </si>
  <si>
    <t xml:space="preserve">0676477499 / </t>
  </si>
  <si>
    <t>SKY002</t>
  </si>
  <si>
    <t>SKYVEE TANZANIA LIMITED</t>
  </si>
  <si>
    <t>sales@sctl.co.tz</t>
  </si>
  <si>
    <t xml:space="preserve">+255685610685 / </t>
  </si>
  <si>
    <t>SMC005</t>
  </si>
  <si>
    <t>SUNDY MERCHANTS COMPANY LIMITED</t>
  </si>
  <si>
    <t>sunga@sundymerchants.co.tz</t>
  </si>
  <si>
    <t xml:space="preserve">0767465562 / </t>
  </si>
  <si>
    <t>SMK005</t>
  </si>
  <si>
    <t>SMK SOLUTIONS</t>
  </si>
  <si>
    <t>sales.smk.solutions@gmail.com</t>
  </si>
  <si>
    <t>0713253536 / 0684508079</t>
  </si>
  <si>
    <t>SOF003</t>
  </si>
  <si>
    <t>SOFTNET TECHNOLOGIES LIMITED</t>
  </si>
  <si>
    <t>pmwita@softnet.co.tz</t>
  </si>
  <si>
    <t>0786670193 / 0779786164</t>
  </si>
  <si>
    <t>SOL001</t>
  </si>
  <si>
    <t>Solny Systems Ltd</t>
  </si>
  <si>
    <t>kangelo@solny.co.tz</t>
  </si>
  <si>
    <t>0757290030 / 0622290030</t>
  </si>
  <si>
    <t>SOU003</t>
  </si>
  <si>
    <t>Sound And Vision Ltd</t>
  </si>
  <si>
    <t>sarfarazali@soundandvision.co.tz</t>
  </si>
  <si>
    <t xml:space="preserve">0754 744 740 / </t>
  </si>
  <si>
    <t>SPL005</t>
  </si>
  <si>
    <t>SECURE POINT LTD</t>
  </si>
  <si>
    <t>info@securepoint.co.tz</t>
  </si>
  <si>
    <t>SSC002</t>
  </si>
  <si>
    <t>SORT SOLUTIONS COMPANY LIMITED</t>
  </si>
  <si>
    <t>info@sortsolutions.co.tz</t>
  </si>
  <si>
    <t>0763291284 / 0686996319</t>
  </si>
  <si>
    <t>SSH001</t>
  </si>
  <si>
    <t>Sharesolution</t>
  </si>
  <si>
    <t>christopher.mangowi@outlook.com</t>
  </si>
  <si>
    <t>0767400025 / 06713813906</t>
  </si>
  <si>
    <t>SST001</t>
  </si>
  <si>
    <t>Sun Solutions T Limited</t>
  </si>
  <si>
    <t>sales@sunsolutions.co.tz</t>
  </si>
  <si>
    <t xml:space="preserve">0713173769 / </t>
  </si>
  <si>
    <t>SST005</t>
  </si>
  <si>
    <t>SSTL Group</t>
  </si>
  <si>
    <t>kusagaje@sstl.co.tz</t>
  </si>
  <si>
    <t>0774141516 / 2760037</t>
  </si>
  <si>
    <t>STO002</t>
  </si>
  <si>
    <t>STORM ENTERPRISES</t>
  </si>
  <si>
    <t>hsuleiman@gmail.com</t>
  </si>
  <si>
    <t xml:space="preserve">0712729565 / </t>
  </si>
  <si>
    <t>STR001</t>
  </si>
  <si>
    <t>STRONG TOWER INVESTMENT LTD</t>
  </si>
  <si>
    <t>strongtowerinvestment2@gmail.com</t>
  </si>
  <si>
    <t>0689829265 / 0689829265</t>
  </si>
  <si>
    <t>STS002</t>
  </si>
  <si>
    <t>SHARP TECHNOLOGY SOLUTIONS (T) LIMITED</t>
  </si>
  <si>
    <t>ibrahim.rajab@sharptechtz.com</t>
  </si>
  <si>
    <t xml:space="preserve">0783539983 / </t>
  </si>
  <si>
    <t>SUN004</t>
  </si>
  <si>
    <t>SUNHERALEX CONSULTING CO LTD</t>
  </si>
  <si>
    <t>joseph.msaky@sunheralex.com</t>
  </si>
  <si>
    <t xml:space="preserve">0222110951 / </t>
  </si>
  <si>
    <t>SUR001</t>
  </si>
  <si>
    <t>SURA TECHNOLOGIES</t>
  </si>
  <si>
    <t>prakash@sura-tz.com</t>
  </si>
  <si>
    <t xml:space="preserve">2131608 / </t>
  </si>
  <si>
    <t>SYT001</t>
  </si>
  <si>
    <t>Synergy Technologies Limited</t>
  </si>
  <si>
    <t>eburetta@synergytechnologies.co.tz</t>
  </si>
  <si>
    <t xml:space="preserve">0784350620 / </t>
  </si>
  <si>
    <t>TAS005</t>
  </si>
  <si>
    <t>TONERBYTES AND SUPPLIES LIMITED</t>
  </si>
  <si>
    <t>shaaban@tonerbytes.co.tz</t>
  </si>
  <si>
    <t>255788937722 / 255717255924</t>
  </si>
  <si>
    <t>TAX001</t>
  </si>
  <si>
    <t>Taxons Limited</t>
  </si>
  <si>
    <t>info@taxons.co.tz</t>
  </si>
  <si>
    <t>0735786442 / 0684901901</t>
  </si>
  <si>
    <t>TCC001</t>
  </si>
  <si>
    <t>TC COMPUTERS COMPANY LTED</t>
  </si>
  <si>
    <t>cecilia@tccomputerstz.com</t>
  </si>
  <si>
    <t>0718979703 / 0714505678</t>
  </si>
  <si>
    <t>TCP005</t>
  </si>
  <si>
    <t>TOPCOM PRINTERS</t>
  </si>
  <si>
    <t>info@topcomprinters.com</t>
  </si>
  <si>
    <t>0716359858 / 0738448787</t>
  </si>
  <si>
    <t>TEC003</t>
  </si>
  <si>
    <t>Technology Associates Limited</t>
  </si>
  <si>
    <t>abduls@techno-associates.co.tz</t>
  </si>
  <si>
    <t xml:space="preserve">0763496143 / </t>
  </si>
  <si>
    <t>TEC005</t>
  </si>
  <si>
    <t>Techcom Distribution Limited</t>
  </si>
  <si>
    <t>sales@techcom.co.tz</t>
  </si>
  <si>
    <t>2110808 / 2110809</t>
  </si>
  <si>
    <t>TEC007</t>
  </si>
  <si>
    <t>Technology Concepts</t>
  </si>
  <si>
    <t>daniel@technologyconcepts.co.tz</t>
  </si>
  <si>
    <t>255655916411 / 255755916411</t>
  </si>
  <si>
    <t>TEK001</t>
  </si>
  <si>
    <t>Teksat Electronics</t>
  </si>
  <si>
    <t>teksat@hotmail.com</t>
  </si>
  <si>
    <t xml:space="preserve">0754292929 / </t>
  </si>
  <si>
    <t>TEL007</t>
  </si>
  <si>
    <t>Technoimage LTD</t>
  </si>
  <si>
    <t>mariagoreth.joseph@technoimage.co.tz</t>
  </si>
  <si>
    <t>0766884339 / +255743597452</t>
  </si>
  <si>
    <t>TEQ005</t>
  </si>
  <si>
    <t>TeqGenix Solutions LTD</t>
  </si>
  <si>
    <t>shakeeb.rafique@teqgenix.co.tz</t>
  </si>
  <si>
    <t xml:space="preserve">0788640203 / </t>
  </si>
  <si>
    <t>THE003</t>
  </si>
  <si>
    <t>BISMARK ROCK COMPUTERS</t>
  </si>
  <si>
    <t>support@brc.co.tz</t>
  </si>
  <si>
    <t>255754503046 / 255282500762</t>
  </si>
  <si>
    <t>THE007</t>
  </si>
  <si>
    <t>THE2POWER COMMUNICATION</t>
  </si>
  <si>
    <t>Fthebee2@gmail.com</t>
  </si>
  <si>
    <t xml:space="preserve">+255759289040 / </t>
  </si>
  <si>
    <t>THL005</t>
  </si>
  <si>
    <t>TIMES HORIZON LTD</t>
  </si>
  <si>
    <t>management@tieshorizon.co.tz</t>
  </si>
  <si>
    <t xml:space="preserve">255658880168 / 255739777 </t>
  </si>
  <si>
    <t>TPC005</t>
  </si>
  <si>
    <t>The PC Repair Centre</t>
  </si>
  <si>
    <t>godfrey.lifa@gmail.com</t>
  </si>
  <si>
    <t xml:space="preserve">0762687554 / </t>
  </si>
  <si>
    <t>TPT001</t>
  </si>
  <si>
    <t>Techpoint Limited</t>
  </si>
  <si>
    <t>eephraim99@gmail.com</t>
  </si>
  <si>
    <t xml:space="preserve">0659645464 / </t>
  </si>
  <si>
    <t>TSL001</t>
  </si>
  <si>
    <t>TSL TECHNOLOGIES LTD</t>
  </si>
  <si>
    <t>sales@totalsolutions.co.tz</t>
  </si>
  <si>
    <t>0757301910 / 0753172171</t>
  </si>
  <si>
    <t>TSL005</t>
  </si>
  <si>
    <t>Taha stores limited</t>
  </si>
  <si>
    <t>imran.adamji5@gmail.com</t>
  </si>
  <si>
    <t xml:space="preserve">0712797160 / </t>
  </si>
  <si>
    <t>TSN001</t>
  </si>
  <si>
    <t>Transnautic Enterprises Ltd</t>
  </si>
  <si>
    <t>dennis@transnautic.co.tz</t>
  </si>
  <si>
    <t>0656230131 / 0742968517</t>
  </si>
  <si>
    <t>TTL001</t>
  </si>
  <si>
    <t>TRIIT TECHNOLOGY LTD</t>
  </si>
  <si>
    <t>triittec@gmail.com</t>
  </si>
  <si>
    <t>0754818404 / 0754309577</t>
  </si>
  <si>
    <t>TTT001</t>
  </si>
  <si>
    <t>Trading Technologies Tanzania Limited</t>
  </si>
  <si>
    <t>mohammad@zudua.com</t>
  </si>
  <si>
    <t>0789777170 / 0682777177</t>
  </si>
  <si>
    <t>TUT001</t>
  </si>
  <si>
    <t>Tutandae Technologies Limited</t>
  </si>
  <si>
    <t>info@tutandae.co.tz</t>
  </si>
  <si>
    <t>255754710470 / 255754667331</t>
  </si>
  <si>
    <t>UAL001</t>
  </si>
  <si>
    <t>Unified Africa Ltd</t>
  </si>
  <si>
    <t>godfrey@unifiedafrica.co.tz</t>
  </si>
  <si>
    <t>255787413305 / 255714413305</t>
  </si>
  <si>
    <t>ULE001</t>
  </si>
  <si>
    <t>Unleashed Potentials (T) Ltd</t>
  </si>
  <si>
    <t>bart@u-potentials.com</t>
  </si>
  <si>
    <t>0788000008 / 0757000014</t>
  </si>
  <si>
    <t>UNI010</t>
  </si>
  <si>
    <t>Unified Africa Technologies (PVT) Ltd</t>
  </si>
  <si>
    <t>benitho@unifiedafrica.co.tz</t>
  </si>
  <si>
    <t>UNI011</t>
  </si>
  <si>
    <t>Unity Computers Limited</t>
  </si>
  <si>
    <t>zahir@unitytz.com</t>
  </si>
  <si>
    <t>688025786 / 713926677</t>
  </si>
  <si>
    <t>USL005</t>
  </si>
  <si>
    <t>UNITED SKIES LIMITED</t>
  </si>
  <si>
    <t>sita.com@live.com</t>
  </si>
  <si>
    <t>0764822625 / 0652275300</t>
  </si>
  <si>
    <t>VEK005</t>
  </si>
  <si>
    <t>VEKO GENERAL ENTERPRISE</t>
  </si>
  <si>
    <t>vekogeneral@gmail.com</t>
  </si>
  <si>
    <t xml:space="preserve">0784484356 / </t>
  </si>
  <si>
    <t>VEM005</t>
  </si>
  <si>
    <t>VEM-TECHNOLOGIES COMPANY LIMITED</t>
  </si>
  <si>
    <t>victormziray@gmail.com</t>
  </si>
  <si>
    <t xml:space="preserve">0658123964 / </t>
  </si>
  <si>
    <t>VEN002</t>
  </si>
  <si>
    <t>VENTREK ENTERPRISE LIMITED</t>
  </si>
  <si>
    <t>ventrektz@gmail.com</t>
  </si>
  <si>
    <t>0717445222 / 0652234231</t>
  </si>
  <si>
    <t>VMX001</t>
  </si>
  <si>
    <t>VisionMax Comapny Limited</t>
  </si>
  <si>
    <t>anatory.rutta@visionmax.co.tz</t>
  </si>
  <si>
    <t>255715979821 / +255677091752</t>
  </si>
  <si>
    <t>VNL005</t>
  </si>
  <si>
    <t>VINTECH LIMITED</t>
  </si>
  <si>
    <t>info@vintech.co.tz</t>
  </si>
  <si>
    <t>0714276344 / 0714276344</t>
  </si>
  <si>
    <t>VSU001</t>
  </si>
  <si>
    <t>VISU Systems</t>
  </si>
  <si>
    <t>tusharkind@gmail.com</t>
  </si>
  <si>
    <t>0689367232 / 0756778017</t>
  </si>
  <si>
    <t>WEB105</t>
  </si>
  <si>
    <t>WEB TECHNOLOGIES TANZANIA LIMITED</t>
  </si>
  <si>
    <t>godfrey@webtechnologies.co.tz</t>
  </si>
  <si>
    <t xml:space="preserve">0712093399 / </t>
  </si>
  <si>
    <t>WHZ005</t>
  </si>
  <si>
    <t>Whizzy Enterprises</t>
  </si>
  <si>
    <t>sales.pompey@gmail.com</t>
  </si>
  <si>
    <t xml:space="preserve">+255769368924 / +255 768 481 </t>
  </si>
  <si>
    <t>WIN001</t>
  </si>
  <si>
    <t>WINVI TRAVEL AGENCY AND GENERAL SUPPLIES LTD</t>
  </si>
  <si>
    <t>winvisales@gmail.com</t>
  </si>
  <si>
    <t xml:space="preserve">0716727741 / </t>
  </si>
  <si>
    <t>WNE105</t>
  </si>
  <si>
    <t>WENA ENTERPRISES</t>
  </si>
  <si>
    <t>ymtewele@gmail.com</t>
  </si>
  <si>
    <t>0765684657 / 0658635364</t>
  </si>
  <si>
    <t>WNL005</t>
  </si>
  <si>
    <t>Worldcoms Network Ltd</t>
  </si>
  <si>
    <t>info@worldcom.co.tz</t>
  </si>
  <si>
    <t>0757004603 / 0713047047</t>
  </si>
  <si>
    <t>WTT002</t>
  </si>
  <si>
    <t>WIPROTECHNOLOGIES TANZANIA LIMITED</t>
  </si>
  <si>
    <t>shibi@wiprotechnologies.co.tz</t>
  </si>
  <si>
    <t xml:space="preserve">+255784600339 / </t>
  </si>
  <si>
    <t>XER005</t>
  </si>
  <si>
    <t>Extra Mile Technologies</t>
  </si>
  <si>
    <t>robert@extramile.co.tz</t>
  </si>
  <si>
    <t>0655001655 / 0714029266</t>
  </si>
  <si>
    <t>XP001</t>
  </si>
  <si>
    <t>XP Group LTD</t>
  </si>
  <si>
    <t>purchasing@itss.co.tz</t>
  </si>
  <si>
    <t xml:space="preserve">0757077847 / </t>
  </si>
  <si>
    <t>ZAM001</t>
  </si>
  <si>
    <t>Zam Zam Stationery Supermarket</t>
  </si>
  <si>
    <t>showroom@zamzamtz.co.tz</t>
  </si>
  <si>
    <t>2129600 / 2137720</t>
  </si>
  <si>
    <t>ZAW001</t>
  </si>
  <si>
    <t>Zawadi Technology</t>
  </si>
  <si>
    <t>zawadit@gmail.com</t>
  </si>
  <si>
    <t xml:space="preserve">0715606060 / </t>
  </si>
  <si>
    <t>ZON006</t>
  </si>
  <si>
    <t>zona zona tec</t>
  </si>
  <si>
    <t>leonarddickson3@yahoo.com</t>
  </si>
  <si>
    <t>255756733441 / 255756733441</t>
  </si>
  <si>
    <t>SAPUG</t>
  </si>
  <si>
    <t>AAL100</t>
  </si>
  <si>
    <t>ALFA AFRICANA LIMITED</t>
  </si>
  <si>
    <t>UG</t>
  </si>
  <si>
    <t>UGANDA</t>
  </si>
  <si>
    <t>md@alfaafricana.com</t>
  </si>
  <si>
    <t xml:space="preserve">750500102 / </t>
  </si>
  <si>
    <t>ACE105</t>
  </si>
  <si>
    <t>ACE SYSTEMS LTD</t>
  </si>
  <si>
    <t>asuman.abayo@acesystems.ug</t>
  </si>
  <si>
    <t>AIR101</t>
  </si>
  <si>
    <t>AIRCOM TECHNOLOGIES</t>
  </si>
  <si>
    <t>presales@oomaircoms.com</t>
  </si>
  <si>
    <t>0757353232 / 0704212121</t>
  </si>
  <si>
    <t>ALC101</t>
  </si>
  <si>
    <t>Alastar Company (U) Limited</t>
  </si>
  <si>
    <t>bfred@alastarit.com</t>
  </si>
  <si>
    <t xml:space="preserve">0701711644 / </t>
  </si>
  <si>
    <t>ALE100</t>
  </si>
  <si>
    <t>Aleeza Consult Ltd</t>
  </si>
  <si>
    <t>aleezaconsult@gmail.com</t>
  </si>
  <si>
    <t>256787507021 / 256787218117</t>
  </si>
  <si>
    <t>ALG100</t>
  </si>
  <si>
    <t>Alger Technology Solutions &amp; Services Lt</t>
  </si>
  <si>
    <t>wilber@atsssug.com</t>
  </si>
  <si>
    <t>0705377090 / 0200910058</t>
  </si>
  <si>
    <t>APB100</t>
  </si>
  <si>
    <t>Aplus Business Solution</t>
  </si>
  <si>
    <t>geoffrey@hardwarekitug.com</t>
  </si>
  <si>
    <t>APL100</t>
  </si>
  <si>
    <t>Aplus Computers (U) Limited</t>
  </si>
  <si>
    <t>amin@infopoint.co.ug</t>
  </si>
  <si>
    <t>256414340444 / 256776477921</t>
  </si>
  <si>
    <t>ARU100</t>
  </si>
  <si>
    <t>Info Tech Advanced Computing Arua Ltd</t>
  </si>
  <si>
    <t>infotechcomputing110@gmail.com</t>
  </si>
  <si>
    <t>0392615115 / 0778303111</t>
  </si>
  <si>
    <t>ASP100</t>
  </si>
  <si>
    <t>ASPIRE CAPITAL VENTURES LTD</t>
  </si>
  <si>
    <t>aspirecapital.ug@gmail.com</t>
  </si>
  <si>
    <t>0776405759 / 0758405759</t>
  </si>
  <si>
    <t>AUD100</t>
  </si>
  <si>
    <t>AUDAX AFRICA - SMC LIMITED</t>
  </si>
  <si>
    <t>audaxafrica@outlook.com</t>
  </si>
  <si>
    <t>0781566442 / 0751566442</t>
  </si>
  <si>
    <t>BDE105</t>
  </si>
  <si>
    <t>BITCOM DELTA EA LTD</t>
  </si>
  <si>
    <t>dennis.bii@bitcomdelta.com</t>
  </si>
  <si>
    <t xml:space="preserve">256754717233 / </t>
  </si>
  <si>
    <t>BEG100</t>
  </si>
  <si>
    <t>BEGIRA INVESTMENTS LTD</t>
  </si>
  <si>
    <t>joeljoel31@yahoo.com</t>
  </si>
  <si>
    <t>0701543060 / 0774543060</t>
  </si>
  <si>
    <t>Ber101</t>
  </si>
  <si>
    <t>Bertonic Co Limited</t>
  </si>
  <si>
    <t>bertonicsco@gmail.com</t>
  </si>
  <si>
    <t xml:space="preserve">0706377179 / </t>
  </si>
  <si>
    <t>BIS100</t>
  </si>
  <si>
    <t>Banyan IT Solutions LTD</t>
  </si>
  <si>
    <t>sales@banyan-it.com</t>
  </si>
  <si>
    <t xml:space="preserve">0751 699428 / </t>
  </si>
  <si>
    <t>BKL100</t>
  </si>
  <si>
    <t>BARTER KINGS (U) LTD</t>
  </si>
  <si>
    <t>wkawooya@barterkings-ug.com</t>
  </si>
  <si>
    <t xml:space="preserve">+256784233746 / </t>
  </si>
  <si>
    <t>BSL100</t>
  </si>
  <si>
    <t>BUSINESS CENTRE LIMITED</t>
  </si>
  <si>
    <t>bcl@bclug.com</t>
  </si>
  <si>
    <t>0701460004 / 0771448622</t>
  </si>
  <si>
    <t>BSL101</t>
  </si>
  <si>
    <t>Biashara solutions limited</t>
  </si>
  <si>
    <t>godfrey@biasharasolutions.com</t>
  </si>
  <si>
    <t>0706513007 / 0773257859</t>
  </si>
  <si>
    <t>BSL105</t>
  </si>
  <si>
    <t>BURHANI SOLUTIONS (U) LTD</t>
  </si>
  <si>
    <t>info@burhanis.com</t>
  </si>
  <si>
    <t>0025678624143 / 0025675939605</t>
  </si>
  <si>
    <t>BTS105</t>
  </si>
  <si>
    <t>BATTOLEO TECHNICAL SERVICES</t>
  </si>
  <si>
    <t>battoleo@gmail.com</t>
  </si>
  <si>
    <t>BUS100</t>
  </si>
  <si>
    <t>Bush Technologies</t>
  </si>
  <si>
    <t>allan@bushtechnologies.co.ug</t>
  </si>
  <si>
    <t xml:space="preserve">0772335260 / </t>
  </si>
  <si>
    <t>BWL105</t>
  </si>
  <si>
    <t>Bidii Sitewise Limited</t>
  </si>
  <si>
    <t>mushaks@gmail.com</t>
  </si>
  <si>
    <t xml:space="preserve">0756282237 / </t>
  </si>
  <si>
    <t>CAN100</t>
  </si>
  <si>
    <t>CANOPY IT SOLUTIONS</t>
  </si>
  <si>
    <t>info@canopy.ug</t>
  </si>
  <si>
    <t>0772776700 / 0772776701</t>
  </si>
  <si>
    <t>CBA100</t>
  </si>
  <si>
    <t>COMPUTER AND BEYOND AFRICA</t>
  </si>
  <si>
    <t>bayesiga@cbafrica.ug</t>
  </si>
  <si>
    <t>0772915830 / 0783160668</t>
  </si>
  <si>
    <t>CBL100</t>
  </si>
  <si>
    <t>Cyber  Base Limited</t>
  </si>
  <si>
    <t>rehema@cyberbase.co.ug</t>
  </si>
  <si>
    <t>0700821153 / 0751502756</t>
  </si>
  <si>
    <t>The Copy Cat (U) Limited</t>
  </si>
  <si>
    <t>sagar.sawant@copycatgroup.com</t>
  </si>
  <si>
    <t>256759009011 / 256759009011</t>
  </si>
  <si>
    <t>CCN100</t>
  </si>
  <si>
    <t>Computer Connection SMC Ltd.</t>
  </si>
  <si>
    <t>ccsalesug@gmail.com</t>
  </si>
  <si>
    <t>0780177696 / 0759970766</t>
  </si>
  <si>
    <t>CCT101</t>
  </si>
  <si>
    <t>CompConsultTechnologies</t>
  </si>
  <si>
    <t>dakampurira@compconsulttech.com</t>
  </si>
  <si>
    <t>256782017679 / 256701360300</t>
  </si>
  <si>
    <t>CGT100</t>
  </si>
  <si>
    <t>Computer Gateway Tech Ltd</t>
  </si>
  <si>
    <t>sales@computer-gateway.com</t>
  </si>
  <si>
    <t>0392176615 / +256782576710</t>
  </si>
  <si>
    <t>CHL100</t>
  </si>
  <si>
    <t>CMAN HUB COMPANY LTD</t>
  </si>
  <si>
    <t>Jbusuulwa@cmanhub.com</t>
  </si>
  <si>
    <t xml:space="preserve">256774664180 / </t>
  </si>
  <si>
    <t>CIL100</t>
  </si>
  <si>
    <t>Computer Indepth Limited</t>
  </si>
  <si>
    <t>brian@computerindepthug.com</t>
  </si>
  <si>
    <t xml:space="preserve">0752712450 / </t>
  </si>
  <si>
    <t>CNF100</t>
  </si>
  <si>
    <t>COMPUTER &amp; NETWORK FIXER</t>
  </si>
  <si>
    <t>m.isaac@protonmail.com</t>
  </si>
  <si>
    <t>0772461142 / 0752461142</t>
  </si>
  <si>
    <t>CNS100</t>
  </si>
  <si>
    <t>Centric Solutions</t>
  </si>
  <si>
    <t>info@centricug.com</t>
  </si>
  <si>
    <t>0782081723 / 0704139103</t>
  </si>
  <si>
    <t>CNT100</t>
  </si>
  <si>
    <t>Compunet Technologies</t>
  </si>
  <si>
    <t>Info@compunet.co.ug</t>
  </si>
  <si>
    <t>782799808 / 782799808</t>
  </si>
  <si>
    <t>computech limited (ug)</t>
  </si>
  <si>
    <t>sales.uganda@computechlimited.com</t>
  </si>
  <si>
    <t>414 346 547  / 414 342910</t>
  </si>
  <si>
    <t>COR100</t>
  </si>
  <si>
    <t>Computer Revolution Africa</t>
  </si>
  <si>
    <t>praveen.batta@computer-revolution.co.ug</t>
  </si>
  <si>
    <t>0759289668 / 0752940677</t>
  </si>
  <si>
    <t>CPP100</t>
  </si>
  <si>
    <t>SYBYL LIMITED</t>
  </si>
  <si>
    <t>ajayb@sybyl.com</t>
  </si>
  <si>
    <t xml:space="preserve">256776543100 / </t>
  </si>
  <si>
    <t>CRL</t>
  </si>
  <si>
    <t>CRANE COMPUTERS LIMITED</t>
  </si>
  <si>
    <t>Crane.comps@gmail.com</t>
  </si>
  <si>
    <t xml:space="preserve">+256772412722 / </t>
  </si>
  <si>
    <t>CRM100</t>
  </si>
  <si>
    <t>CHAROMAH (U) LTD</t>
  </si>
  <si>
    <t>charomahugltd@gmail.com</t>
  </si>
  <si>
    <t>0786063622 / 0703169331</t>
  </si>
  <si>
    <t>CSL100</t>
  </si>
  <si>
    <t>Comtec Systems ltd</t>
  </si>
  <si>
    <t>beyenderaf@comtecsystemsuganda.com</t>
  </si>
  <si>
    <t>0776808872 / 0414666837</t>
  </si>
  <si>
    <t>CSL101</t>
  </si>
  <si>
    <t>Converge Systems Limited</t>
  </si>
  <si>
    <t>georgek@convergesystems.ug</t>
  </si>
  <si>
    <t>0759925860 / 0414235788</t>
  </si>
  <si>
    <t>CTL107</t>
  </si>
  <si>
    <t>CLEMZ TECHNOLOGIES LTD</t>
  </si>
  <si>
    <t>info@clemztech.com</t>
  </si>
  <si>
    <t>0779916032 / 0704982774</t>
  </si>
  <si>
    <t>CWG100</t>
  </si>
  <si>
    <t>Computer Warehouse Group Ltd</t>
  </si>
  <si>
    <t>anthony.seyinde@cwg-plc.com</t>
  </si>
  <si>
    <t>256789681724 / 257789681734</t>
  </si>
  <si>
    <t>CYL100</t>
  </si>
  <si>
    <t>Cybertrends Limited</t>
  </si>
  <si>
    <t>Richard.okello@cybertrendsltd.com</t>
  </si>
  <si>
    <t xml:space="preserve">0701300720 / </t>
  </si>
  <si>
    <t>CYS100</t>
  </si>
  <si>
    <t>CYSECURICO LIMITED</t>
  </si>
  <si>
    <t>nic.ssekeba@cybersecureug.com</t>
  </si>
  <si>
    <t xml:space="preserve">0787498579 / </t>
  </si>
  <si>
    <t>DA100</t>
  </si>
  <si>
    <t>DIGITAL ALLIANCE</t>
  </si>
  <si>
    <t>k.paul@digitalallianceonline.net</t>
  </si>
  <si>
    <t xml:space="preserve">+256-705-7800 / </t>
  </si>
  <si>
    <t>DBS105</t>
  </si>
  <si>
    <t>DESTINY BUSINESS SYSTEMS LTD</t>
  </si>
  <si>
    <t>jnserek@gmail.com</t>
  </si>
  <si>
    <t xml:space="preserve">0753695065 / </t>
  </si>
  <si>
    <t>DCL100</t>
  </si>
  <si>
    <t>Drescher Consult Ltd</t>
  </si>
  <si>
    <t>Dcl@entebbe.eu</t>
  </si>
  <si>
    <t>0772441837 / 0751181323</t>
  </si>
  <si>
    <t>DCS</t>
  </si>
  <si>
    <t>DAM COMPUTERS &amp; STATIONERS(U) LTD</t>
  </si>
  <si>
    <t>dampcs2016@gmail.com</t>
  </si>
  <si>
    <t xml:space="preserve">0783848720 / </t>
  </si>
  <si>
    <t>DCS100</t>
  </si>
  <si>
    <t>Dove care Stationers (u) ltd</t>
  </si>
  <si>
    <t>dovecare.stationers@gmail.com</t>
  </si>
  <si>
    <t xml:space="preserve">0701614926 / </t>
  </si>
  <si>
    <t>DHL105</t>
  </si>
  <si>
    <t>DHAIRYA TECHNOLOGIES LTD</t>
  </si>
  <si>
    <t>dhairyatechnologies2007@gmail.com</t>
  </si>
  <si>
    <t>0756363516 / 0713818198</t>
  </si>
  <si>
    <t>DIL100</t>
  </si>
  <si>
    <t>DILCOM IT SOLUTIONS (U) LTD</t>
  </si>
  <si>
    <t>isma.sendiwala@dilcom.net</t>
  </si>
  <si>
    <t>0774433223 / 0703699113</t>
  </si>
  <si>
    <t>DIT100</t>
  </si>
  <si>
    <t>DITA LIMITED</t>
  </si>
  <si>
    <t>ogwangm@ditalimited.net</t>
  </si>
  <si>
    <t>0703164386 / 0752253653</t>
  </si>
  <si>
    <t>DIT101</t>
  </si>
  <si>
    <t>Darts International Trading Limited</t>
  </si>
  <si>
    <t>daetarm@hitman.com</t>
  </si>
  <si>
    <t xml:space="preserve">0782685615 / </t>
  </si>
  <si>
    <t>DTI105</t>
  </si>
  <si>
    <t>DTI GLOBAL ENTERPRISES LTD.</t>
  </si>
  <si>
    <t>Sales@dtiglobalent.com</t>
  </si>
  <si>
    <t>0781580060 / 0700592132</t>
  </si>
  <si>
    <t>DTL100</t>
  </si>
  <si>
    <t>DASTEL LIMITED</t>
  </si>
  <si>
    <t>info@dastelug.com</t>
  </si>
  <si>
    <t>0414668214 / 0773525079</t>
  </si>
  <si>
    <t>EAL105</t>
  </si>
  <si>
    <t>ECHULI AFRICA LTD</t>
  </si>
  <si>
    <t>support@echuliafrica.com</t>
  </si>
  <si>
    <t>0704533767 / 0786563028</t>
  </si>
  <si>
    <t>EDT102</t>
  </si>
  <si>
    <t>Edgeline Solutionz (u) Ltd</t>
  </si>
  <si>
    <t>douglas.kawagama@edgelinesolutionz.com</t>
  </si>
  <si>
    <t xml:space="preserve">0790790768 / </t>
  </si>
  <si>
    <t>EEL100</t>
  </si>
  <si>
    <t>EMPORIUM ENTERPRISES LTD</t>
  </si>
  <si>
    <t>brollinsnyunyuzi@gmail.com</t>
  </si>
  <si>
    <t>0791335447 / 07801132466</t>
  </si>
  <si>
    <t>EIT100</t>
  </si>
  <si>
    <t>Explore I.T technology Limited</t>
  </si>
  <si>
    <t>sales@exploreittechnologies.com</t>
  </si>
  <si>
    <t>0756478477 / 0756478477</t>
  </si>
  <si>
    <t>ELC</t>
  </si>
  <si>
    <t>elite computers limited</t>
  </si>
  <si>
    <t>ranjith@elitecomputers.co.ug</t>
  </si>
  <si>
    <t>0414255933 / 0774240662</t>
  </si>
  <si>
    <t>ELD100</t>
  </si>
  <si>
    <t>Eland Technologies Ltd</t>
  </si>
  <si>
    <t>jnantale@eland.ug</t>
  </si>
  <si>
    <t xml:space="preserve">0753839926 / </t>
  </si>
  <si>
    <t>ELD101</t>
  </si>
  <si>
    <t>Edge Limited</t>
  </si>
  <si>
    <t>dennis@edge-limited.com</t>
  </si>
  <si>
    <t xml:space="preserve">0002567726446 / </t>
  </si>
  <si>
    <t>EMV100</t>
  </si>
  <si>
    <t>Emvigo Technologies ltd</t>
  </si>
  <si>
    <t>ug.emvigo@gmail.com</t>
  </si>
  <si>
    <t>0753333480 / 0707222333</t>
  </si>
  <si>
    <t>ESA100</t>
  </si>
  <si>
    <t>ESA TYTANS (U) LTD</t>
  </si>
  <si>
    <t>esatytans@gmail.com</t>
  </si>
  <si>
    <t>256700801594 / 0777789523</t>
  </si>
  <si>
    <t>ETL05</t>
  </si>
  <si>
    <t>EUROPE TECHNOLOGIES LIMITED</t>
  </si>
  <si>
    <t>europetechnologies@live.com</t>
  </si>
  <si>
    <t>0772428525 / 0705000669</t>
  </si>
  <si>
    <t>EZC100</t>
  </si>
  <si>
    <t>Ezra Blaze Consulting Firm, LLC</t>
  </si>
  <si>
    <t>alnisa.musinguzi@gonzagablaze.com</t>
  </si>
  <si>
    <t>8438884338 / 256752788348</t>
  </si>
  <si>
    <t>FIR100</t>
  </si>
  <si>
    <t>Firmware ICT CO. LTD</t>
  </si>
  <si>
    <t>sales@firmwareict.com</t>
  </si>
  <si>
    <t>0757513391 / 0786659988</t>
  </si>
  <si>
    <t>FSL100</t>
  </si>
  <si>
    <t>FELOWIN  SYSTEMS LTD</t>
  </si>
  <si>
    <t>macrottago@gmail.com</t>
  </si>
  <si>
    <t xml:space="preserve">0772572840 / </t>
  </si>
  <si>
    <t>GAT100</t>
  </si>
  <si>
    <t>Gertmil Africa ltd</t>
  </si>
  <si>
    <t>GERTMILL@OUTLOOK.COM</t>
  </si>
  <si>
    <t xml:space="preserve">+256779100701 / </t>
  </si>
  <si>
    <t>Gen101</t>
  </si>
  <si>
    <t>Genoteq Software</t>
  </si>
  <si>
    <t>info@genoteq-software.com</t>
  </si>
  <si>
    <t>0200923439 / 0701028576</t>
  </si>
  <si>
    <t>GES105</t>
  </si>
  <si>
    <t>Gata Engineering Services LTD</t>
  </si>
  <si>
    <t>gataengservices@gmail.com</t>
  </si>
  <si>
    <t>0701694845 / 0772727594</t>
  </si>
  <si>
    <t>GLB100</t>
  </si>
  <si>
    <t>GLOBAL 7 LIMITED</t>
  </si>
  <si>
    <t>gopal@global7.biz</t>
  </si>
  <si>
    <t>0753443424 / 0789225797</t>
  </si>
  <si>
    <t>GTL101</t>
  </si>
  <si>
    <t>Goal Technical solutions Ltd</t>
  </si>
  <si>
    <t>robertmwesigwaa@gmail.com</t>
  </si>
  <si>
    <t>0025677889773 / 0025670477298</t>
  </si>
  <si>
    <t>GUL100</t>
  </si>
  <si>
    <t>Gulf Africa</t>
  </si>
  <si>
    <t>gulfafri@gmail.com</t>
  </si>
  <si>
    <t xml:space="preserve">414234017 / </t>
  </si>
  <si>
    <t>HAK105</t>
  </si>
  <si>
    <t>HARDWARE KIT  LTD</t>
  </si>
  <si>
    <t>job@dbs.ug</t>
  </si>
  <si>
    <t>0772320880 / +256701320880</t>
  </si>
  <si>
    <t>HCL100</t>
  </si>
  <si>
    <t>Hitash Consults Limited</t>
  </si>
  <si>
    <t>kasozirobert1@gmail.com</t>
  </si>
  <si>
    <t>0702363435 / 0772073548</t>
  </si>
  <si>
    <t>HLT100</t>
  </si>
  <si>
    <t>Huttec (U) Limited</t>
  </si>
  <si>
    <t>joselaker@huttec.co.ug</t>
  </si>
  <si>
    <t>0393240065 / 0772012999</t>
  </si>
  <si>
    <t>HRP100</t>
  </si>
  <si>
    <t>HRP SOLUTIONS</t>
  </si>
  <si>
    <t>rok@hrpsolutions.co.ug</t>
  </si>
  <si>
    <t>0774167363 / 0414254362</t>
  </si>
  <si>
    <t>HSL100</t>
  </si>
  <si>
    <t>Hacktec solutions Limited</t>
  </si>
  <si>
    <t>admin@hacktecsolutions.com</t>
  </si>
  <si>
    <t>0703675383 / 0773632443</t>
  </si>
  <si>
    <t>IBS100</t>
  </si>
  <si>
    <t>INTERNATIONAL BUSINESS SOLUTION</t>
  </si>
  <si>
    <t>sales@ibsl.co.ug</t>
  </si>
  <si>
    <t>256414347570 / 0002567527456</t>
  </si>
  <si>
    <t>ICD100</t>
  </si>
  <si>
    <t>ICT Computers &amp; Distributors Limited</t>
  </si>
  <si>
    <t>ictsalez@gmail.com</t>
  </si>
  <si>
    <t>ICT100</t>
  </si>
  <si>
    <t>ICT EXPERTS UGANDA LIMITED</t>
  </si>
  <si>
    <t>adionzisydney@gmail.com</t>
  </si>
  <si>
    <t>256773391127 / 256701400345</t>
  </si>
  <si>
    <t>ICT101</t>
  </si>
  <si>
    <t>ICT BEACON LIMITED</t>
  </si>
  <si>
    <t>dickens@ictbeacon.com</t>
  </si>
  <si>
    <t>256758230534 / 256414672355</t>
  </si>
  <si>
    <t>Ina100</t>
  </si>
  <si>
    <t>Inasmo investments (u) Ltd</t>
  </si>
  <si>
    <t>asiimwemzys@gmail.com</t>
  </si>
  <si>
    <t>702192875 / 777692234</t>
  </si>
  <si>
    <t>INE100</t>
  </si>
  <si>
    <t>INENSIA LTD</t>
  </si>
  <si>
    <t>watts@inensa.com</t>
  </si>
  <si>
    <t>0776131350 / 07722125999</t>
  </si>
  <si>
    <t>Inf101</t>
  </si>
  <si>
    <t>Infosphere (u) Ltd</t>
  </si>
  <si>
    <t>georgek@infospheresystems.com</t>
  </si>
  <si>
    <t>254719788056 / 256782705489</t>
  </si>
  <si>
    <t>INT100</t>
  </si>
  <si>
    <t>Intelligent Solutions</t>
  </si>
  <si>
    <t>info@isl-ug.com</t>
  </si>
  <si>
    <t>256414572971 / 256772639671</t>
  </si>
  <si>
    <t>ITE100</t>
  </si>
  <si>
    <t>IT Edge Uganda Ltd</t>
  </si>
  <si>
    <t>realextn@gmail.com</t>
  </si>
  <si>
    <t xml:space="preserve">0782361343 / </t>
  </si>
  <si>
    <t>ITL100</t>
  </si>
  <si>
    <t>IT LOGIC LIMITED</t>
  </si>
  <si>
    <t>rjemba@itlogic.co.ug</t>
  </si>
  <si>
    <t>0772402976 / 0702402976</t>
  </si>
  <si>
    <t>ITN100</t>
  </si>
  <si>
    <t>IT NEXT LIMITED</t>
  </si>
  <si>
    <t>amin@itnext.co.ug</t>
  </si>
  <si>
    <t>0751230031 / 0414343616</t>
  </si>
  <si>
    <t>ITO</t>
  </si>
  <si>
    <t>IT OFFICE LIMITED</t>
  </si>
  <si>
    <t>hussein.n@itoffice.co.ug</t>
  </si>
  <si>
    <t>256777716206 / 256775812815</t>
  </si>
  <si>
    <t>IVL100</t>
  </si>
  <si>
    <t>Instant Ventures Limited</t>
  </si>
  <si>
    <t>mbasa@ivuganda.com</t>
  </si>
  <si>
    <t xml:space="preserve">0785357200 / </t>
  </si>
  <si>
    <t>JUM100</t>
  </si>
  <si>
    <t>JADE-E- SERVICES UGANDA (JUMIA)</t>
  </si>
  <si>
    <t>andrew.ssessanga@jumia.com</t>
  </si>
  <si>
    <t>0703002036 / 0777906735</t>
  </si>
  <si>
    <t>KAT001</t>
  </si>
  <si>
    <t>KATA TECHNOLOGIES AND LOGISTICS</t>
  </si>
  <si>
    <t>katatechlogistics@gmail.com</t>
  </si>
  <si>
    <t>0705222439 / 0772212168</t>
  </si>
  <si>
    <t>KCO100</t>
  </si>
  <si>
    <t>Kazinga Channel Office World</t>
  </si>
  <si>
    <t>asif@kazinga.com</t>
  </si>
  <si>
    <t>KER100</t>
  </si>
  <si>
    <t>KERNELBYTE LTD</t>
  </si>
  <si>
    <t>norbert@kernelbyte.tech</t>
  </si>
  <si>
    <t>0700144691 / 0773475578</t>
  </si>
  <si>
    <t>KIR100</t>
  </si>
  <si>
    <t>KIRON Group  Ltd</t>
  </si>
  <si>
    <t>ronald@kirongruppo.com</t>
  </si>
  <si>
    <t>0782460722 / 0704391906</t>
  </si>
  <si>
    <t>KLE100</t>
  </si>
  <si>
    <t>KLEPOL SOLUTIONS</t>
  </si>
  <si>
    <t>fahdverse@gmail.com</t>
  </si>
  <si>
    <t>256755732763 / 256772177910</t>
  </si>
  <si>
    <t>KRI100</t>
  </si>
  <si>
    <t>KRINGLE UGANDA LIMITED</t>
  </si>
  <si>
    <t>info.kringle@gmail.com</t>
  </si>
  <si>
    <t>256704021115 / 0392963149</t>
  </si>
  <si>
    <t>LAK100</t>
  </si>
  <si>
    <t>LAKHI HIGHTECH LTD</t>
  </si>
  <si>
    <t>lakhihightech@gmail.com</t>
  </si>
  <si>
    <t xml:space="preserve">0753300051 / </t>
  </si>
  <si>
    <t>LEI100</t>
  </si>
  <si>
    <t>LEINSTTEK LIMITED</t>
  </si>
  <si>
    <t>cctvprouganda@gmail.com</t>
  </si>
  <si>
    <t>0785045765 / 0701542037</t>
  </si>
  <si>
    <t>LET105</t>
  </si>
  <si>
    <t>Lomedo Establishment technologies (U) ltd.</t>
  </si>
  <si>
    <t>lomedotechnology@gmail.com</t>
  </si>
  <si>
    <t>LGL100</t>
  </si>
  <si>
    <t>LIMSUE GLOBAL INVESTMENTS LIMITED</t>
  </si>
  <si>
    <t>sulaimangaliwango@gmail.com</t>
  </si>
  <si>
    <t xml:space="preserve">0772078604 / </t>
  </si>
  <si>
    <t>LIM100</t>
  </si>
  <si>
    <t>LIMSUE GLOBAL INVESTMENTS LTD</t>
  </si>
  <si>
    <t>galiwangos@limsue.co.ug</t>
  </si>
  <si>
    <t>0772078604 / 0700305922</t>
  </si>
  <si>
    <t>LIN100</t>
  </si>
  <si>
    <t>LiNKSAT TECHNOLOGIES (U) LTD</t>
  </si>
  <si>
    <t>sales@linksattechnologies.com</t>
  </si>
  <si>
    <t>256752536815 / 256752536810</t>
  </si>
  <si>
    <t>LOG100</t>
  </si>
  <si>
    <t>Login Computers (U) Limited</t>
  </si>
  <si>
    <t>shaizad.jiwani9099@gmail.com</t>
  </si>
  <si>
    <t>0705354471 / 0756288898</t>
  </si>
  <si>
    <t>LOT100</t>
  </si>
  <si>
    <t>Lotus Technologies Limited</t>
  </si>
  <si>
    <t>nikhil@lotus.co.ug</t>
  </si>
  <si>
    <t>0755818181 / 0414349266</t>
  </si>
  <si>
    <t>LTL101</t>
  </si>
  <si>
    <t>LEAD TECHNOLOGIES (u) LTD</t>
  </si>
  <si>
    <t>leadtech256@gmail.com</t>
  </si>
  <si>
    <t xml:space="preserve">0755146410 / </t>
  </si>
  <si>
    <t>LTS100</t>
  </si>
  <si>
    <t>Logix Technical Solutions</t>
  </si>
  <si>
    <t>oosunsan@logixuganda.net</t>
  </si>
  <si>
    <t xml:space="preserve">+256772712259 / </t>
  </si>
  <si>
    <t>MAN100</t>
  </si>
  <si>
    <t>Mantra Technologies</t>
  </si>
  <si>
    <t>rakesh@mantratechno.com</t>
  </si>
  <si>
    <t>751720512 / 751720512</t>
  </si>
  <si>
    <t>MER100</t>
  </si>
  <si>
    <t>Mercury Computers Limited</t>
  </si>
  <si>
    <t>sahil@mercurycomputerslimited.com</t>
  </si>
  <si>
    <t>0757346747 / 0414256136</t>
  </si>
  <si>
    <t>MFI101</t>
  </si>
  <si>
    <t>h.singh@groupmfi.com</t>
  </si>
  <si>
    <t>0751133844 / 0751133844</t>
  </si>
  <si>
    <t>MIC100</t>
  </si>
  <si>
    <t>Microcity Computers Limited</t>
  </si>
  <si>
    <t>baseer@microcitygroup.com</t>
  </si>
  <si>
    <t>0752897628 / 0753718781</t>
  </si>
  <si>
    <t>MIL100</t>
  </si>
  <si>
    <t>MILLENIUM INFOSYS</t>
  </si>
  <si>
    <t>sales@millenniuminfosys.com</t>
  </si>
  <si>
    <t>0414257910 / 0759881882</t>
  </si>
  <si>
    <t>MIL101</t>
  </si>
  <si>
    <t>MILESTONE ONWARDS LIMITED</t>
  </si>
  <si>
    <t>kpeter@milestoneug.com</t>
  </si>
  <si>
    <t>0775702662 / 0754952198</t>
  </si>
  <si>
    <t>MIN100</t>
  </si>
  <si>
    <t>MICRONET</t>
  </si>
  <si>
    <t>stanley@micronet.ug</t>
  </si>
  <si>
    <t>0782399144 / 0759082186</t>
  </si>
  <si>
    <t>MIS100</t>
  </si>
  <si>
    <t>Microstar Computers (U) lIMITED</t>
  </si>
  <si>
    <t>sales.microstarcomputers@gmail.com</t>
  </si>
  <si>
    <t>256750783770 / 256750783770</t>
  </si>
  <si>
    <t>MLK100</t>
  </si>
  <si>
    <t>M-LuKKa Associates Ltd</t>
  </si>
  <si>
    <t>JMuwonge@m-lukka.ug</t>
  </si>
  <si>
    <t>MRL100</t>
  </si>
  <si>
    <t>MIRI RADAR LTD</t>
  </si>
  <si>
    <t>info@miriradar.com</t>
  </si>
  <si>
    <t>0752943351 / 0772623263</t>
  </si>
  <si>
    <t>MSI100</t>
  </si>
  <si>
    <t>MSI East Africa Limited</t>
  </si>
  <si>
    <t>msioffcetechnologies@yahoo.com</t>
  </si>
  <si>
    <t xml:space="preserve">0755167240 / </t>
  </si>
  <si>
    <t>MSI105</t>
  </si>
  <si>
    <t>MS CITY SIDE INVESTMENTS LTD</t>
  </si>
  <si>
    <t>info@mscitysideinvestments.com</t>
  </si>
  <si>
    <t>256702942214 / 256782623431</t>
  </si>
  <si>
    <t>MTA100</t>
  </si>
  <si>
    <t>MTA Computers Limited</t>
  </si>
  <si>
    <t>derricknakasala@mta.co.ug</t>
  </si>
  <si>
    <t>256414341010 / 256773338545</t>
  </si>
  <si>
    <t>NCS100</t>
  </si>
  <si>
    <t>Netsoft Consulting Service</t>
  </si>
  <si>
    <t>s.samy@ncspl.net</t>
  </si>
  <si>
    <t>0754425491 / 0777049321</t>
  </si>
  <si>
    <t>NEM100</t>
  </si>
  <si>
    <t>NEEMAN TECHNOLOGIES LIMITED</t>
  </si>
  <si>
    <t>info@neemantechnologies.com</t>
  </si>
  <si>
    <t>0200997997  / 0785733366</t>
  </si>
  <si>
    <t>NET101</t>
  </si>
  <si>
    <t>New-Edge Technologies and Logistics</t>
  </si>
  <si>
    <t>nantale.angella@new-edgegroup.com</t>
  </si>
  <si>
    <t xml:space="preserve">0701965718 / </t>
  </si>
  <si>
    <t>NEW100</t>
  </si>
  <si>
    <t>NewTech Computers &amp; Electronics Ltd</t>
  </si>
  <si>
    <t>newtechuganda@yahoo.com</t>
  </si>
  <si>
    <t>0775786123 / 0754786123</t>
  </si>
  <si>
    <t>NIT100</t>
  </si>
  <si>
    <t>Niti Distributors Limited</t>
  </si>
  <si>
    <t>sales.uganda@nitimea.com</t>
  </si>
  <si>
    <t>757534077 / 757534077</t>
  </si>
  <si>
    <t>NIT101</t>
  </si>
  <si>
    <t>NIT technologies (U) Ltd</t>
  </si>
  <si>
    <t>john@nittechnologies.com</t>
  </si>
  <si>
    <t xml:space="preserve">0779844617 / </t>
  </si>
  <si>
    <t>NWT100</t>
  </si>
  <si>
    <t>New Wave Technologies Limited</t>
  </si>
  <si>
    <t>INFO@NWT.UG</t>
  </si>
  <si>
    <t>256759665459 / 256784000808</t>
  </si>
  <si>
    <t>ODY102</t>
  </si>
  <si>
    <t>Odyssey Investments Limited</t>
  </si>
  <si>
    <t>odyssey.ins@gmail.com</t>
  </si>
  <si>
    <t xml:space="preserve">+256704830748 / </t>
  </si>
  <si>
    <t>OK100</t>
  </si>
  <si>
    <t>Okra Investment Ltd</t>
  </si>
  <si>
    <t>zadok@okraeng.com</t>
  </si>
  <si>
    <t>OPT100</t>
  </si>
  <si>
    <t>OPTIMUS BUSINESS SYSTEMS LIMITED</t>
  </si>
  <si>
    <t>sam@boptimus.com</t>
  </si>
  <si>
    <t xml:space="preserve">0774015099 / </t>
  </si>
  <si>
    <t>PAM100</t>
  </si>
  <si>
    <t>Pamoja Group (U) Ltd</t>
  </si>
  <si>
    <t>pamojagroupltd@gmail.com</t>
  </si>
  <si>
    <t>0703245903 / 0775687560</t>
  </si>
  <si>
    <t>PAV100</t>
  </si>
  <si>
    <t>PAVAN TRADING CO LTD</t>
  </si>
  <si>
    <t>sunit333@yahoo.com</t>
  </si>
  <si>
    <t>0759359557 / 0755444506</t>
  </si>
  <si>
    <t>PCB100</t>
  </si>
  <si>
    <t>P.C. Buddy Computers (U) Limited</t>
  </si>
  <si>
    <t>Pcbuddy@gmail.com</t>
  </si>
  <si>
    <t>0702877776 / 0753427214</t>
  </si>
  <si>
    <t>PCC100</t>
  </si>
  <si>
    <t>pacific computers</t>
  </si>
  <si>
    <t>pacificuganda@gmail.com</t>
  </si>
  <si>
    <t>0755794867 / 0755794867</t>
  </si>
  <si>
    <t>PCI100</t>
  </si>
  <si>
    <t>PACIFIC IMPEX</t>
  </si>
  <si>
    <t>pacificimpex.ug@gmail.com</t>
  </si>
  <si>
    <t>0751270888 / 0752882211</t>
  </si>
  <si>
    <t>PCM100</t>
  </si>
  <si>
    <t>PC  Max Limited</t>
  </si>
  <si>
    <t>PCMAXLTD@GMAIL.COM</t>
  </si>
  <si>
    <t>757227755 / 0414232526</t>
  </si>
  <si>
    <t>PCW100</t>
  </si>
  <si>
    <t>P C World Computers Limited</t>
  </si>
  <si>
    <t>sales@pcworldcomputers.co.ug</t>
  </si>
  <si>
    <t>0772787825 / 0753787825</t>
  </si>
  <si>
    <t>PERFECT MULTIPL</t>
  </si>
  <si>
    <t>PERFECT MULTIPLE ENG</t>
  </si>
  <si>
    <t>sales@pmecs.co.ug</t>
  </si>
  <si>
    <t>0789976687 / 0701746299</t>
  </si>
  <si>
    <t>PFS100</t>
  </si>
  <si>
    <t>PUREFLEX SYSTEMS LIMITED</t>
  </si>
  <si>
    <t>peter.ntale@pureflexsystems.com</t>
  </si>
  <si>
    <t>256782914570 / 256759914570</t>
  </si>
  <si>
    <t>PIL102</t>
  </si>
  <si>
    <t>Prime Impex 2001 Limited</t>
  </si>
  <si>
    <t>sawan@primeimpex2001.com</t>
  </si>
  <si>
    <t>0755075252 / 0702370370</t>
  </si>
  <si>
    <t>PPP100</t>
  </si>
  <si>
    <t>Peppermint</t>
  </si>
  <si>
    <t>brianug911@gmail.com</t>
  </si>
  <si>
    <t>0775909429 / 0753791431</t>
  </si>
  <si>
    <t>PTC100</t>
  </si>
  <si>
    <t>PREG TECH COMMUNICATION</t>
  </si>
  <si>
    <t>mbamutura@preg-tech.co.ug</t>
  </si>
  <si>
    <t>0256782767605 / 0256704894188</t>
  </si>
  <si>
    <t>QUL100</t>
  </si>
  <si>
    <t>QBRANCH UGANDA LIMTED</t>
  </si>
  <si>
    <t>sales@qbranch.co.ug</t>
  </si>
  <si>
    <t>0784159952 / 0702125803</t>
  </si>
  <si>
    <t>RCK100</t>
  </si>
  <si>
    <t>Rackmount Limited</t>
  </si>
  <si>
    <t>alexk@rackmount-ug.com</t>
  </si>
  <si>
    <t xml:space="preserve">0774648453 / </t>
  </si>
  <si>
    <t>REL101</t>
  </si>
  <si>
    <t>Real executioners limited</t>
  </si>
  <si>
    <t>robert.mwogezi@itedgeafrica.com</t>
  </si>
  <si>
    <t>0782301663 / 0776483343</t>
  </si>
  <si>
    <t>RLT100</t>
  </si>
  <si>
    <t>Reclineinteractive Limited</t>
  </si>
  <si>
    <t>joab@reclineinteractive.com</t>
  </si>
  <si>
    <t xml:space="preserve">0782526815 / </t>
  </si>
  <si>
    <t>ROY100</t>
  </si>
  <si>
    <t>Royal Firm Computer &amp; Accessories</t>
  </si>
  <si>
    <t>Rfcomp.acc@gmail.com</t>
  </si>
  <si>
    <t xml:space="preserve">256772423465 / </t>
  </si>
  <si>
    <t>RTA100</t>
  </si>
  <si>
    <t>Robisoft Technology Associates Ltd</t>
  </si>
  <si>
    <t>robisoftrta@gmail.com</t>
  </si>
  <si>
    <t>±257752778386 / +256702414239</t>
  </si>
  <si>
    <t>RTL100</t>
  </si>
  <si>
    <t>Ripon Technologies Ltd</t>
  </si>
  <si>
    <t>info@ripontechug.com</t>
  </si>
  <si>
    <t>256704083209 / 256779124281</t>
  </si>
  <si>
    <t>SAH100</t>
  </si>
  <si>
    <t>SAHARA COMPUTERS</t>
  </si>
  <si>
    <t>saharacomputers_ug@yahoo.com</t>
  </si>
  <si>
    <t>0755354040 / 0715354040</t>
  </si>
  <si>
    <t>SBS100</t>
  </si>
  <si>
    <t>SBS Systems Uganda Ltd</t>
  </si>
  <si>
    <t>joelsempa@sbs.co.ug</t>
  </si>
  <si>
    <t>0701812108 / 0393264910</t>
  </si>
  <si>
    <t>SD100</t>
  </si>
  <si>
    <t>SD TECHNOLOGIES</t>
  </si>
  <si>
    <t>sdtechug@gmail.com</t>
  </si>
  <si>
    <t>256753263447 / 256776263447</t>
  </si>
  <si>
    <t>SER100</t>
  </si>
  <si>
    <t>Service and Computer Industries</t>
  </si>
  <si>
    <t>sabiha.jafri@sciug.com</t>
  </si>
  <si>
    <t xml:space="preserve">0715753161 / </t>
  </si>
  <si>
    <t>SES100</t>
  </si>
  <si>
    <t>Standard ict &amp; Enterprise solution</t>
  </si>
  <si>
    <t>coordinator@standardict.com</t>
  </si>
  <si>
    <t>0704159998 / 0756595352</t>
  </si>
  <si>
    <t>SHV100</t>
  </si>
  <si>
    <t>SHIVOM INVESTMENT AND SERVICES LTD</t>
  </si>
  <si>
    <t>shivomug@gmail.com</t>
  </si>
  <si>
    <t>SKL100</t>
  </si>
  <si>
    <t>SECURITY KING LTD</t>
  </si>
  <si>
    <t>securitykinglimited@outlook.com</t>
  </si>
  <si>
    <t>0776222355 / 0753222355</t>
  </si>
  <si>
    <t>SKY100</t>
  </si>
  <si>
    <t>Skylim Limited</t>
  </si>
  <si>
    <t>skylimlimited@gmail.com</t>
  </si>
  <si>
    <t>0781440948 / 0703527669</t>
  </si>
  <si>
    <t>SPI100</t>
  </si>
  <si>
    <t>Spinel Tech Limited</t>
  </si>
  <si>
    <t>spineltech16@gmail.com</t>
  </si>
  <si>
    <t>256772353135 / 256788169600</t>
  </si>
  <si>
    <t>SSL107</t>
  </si>
  <si>
    <t>SAMANGA SOLUTIONS LIMITED</t>
  </si>
  <si>
    <t>info@samangasolutions.com</t>
  </si>
  <si>
    <t>0703174483 / 0414697687</t>
  </si>
  <si>
    <t>SSS100</t>
  </si>
  <si>
    <t>SYSVAULT SOLUTIONS</t>
  </si>
  <si>
    <t>sysvaultsolutions@outlook.com</t>
  </si>
  <si>
    <t>SSS200</t>
  </si>
  <si>
    <t>SOMBHA SOLUTION STORE LIMITED</t>
  </si>
  <si>
    <t>procurement@sombha.com</t>
  </si>
  <si>
    <t>0700613817 / 0312393900</t>
  </si>
  <si>
    <t>STI100</t>
  </si>
  <si>
    <t>Standard IT &amp; Computers</t>
  </si>
  <si>
    <t>jmwanyika@gmail.com</t>
  </si>
  <si>
    <t>0777565960 / 0756565960</t>
  </si>
  <si>
    <t>STL105</t>
  </si>
  <si>
    <t>SOLUTIONS413 LIMITED</t>
  </si>
  <si>
    <t>info@solutions413.com</t>
  </si>
  <si>
    <t>256774251957 / 256776254471</t>
  </si>
  <si>
    <t>STR100</t>
  </si>
  <si>
    <t>Sterac Technologies Ltd.</t>
  </si>
  <si>
    <t>info@steractechnologies.com</t>
  </si>
  <si>
    <t>752666065 / 752666065</t>
  </si>
  <si>
    <t>SUL100</t>
  </si>
  <si>
    <t>SENACA (U) LTD</t>
  </si>
  <si>
    <t>simon.senfuka@senaca.ug</t>
  </si>
  <si>
    <t>0782075026 / 0750670064</t>
  </si>
  <si>
    <t>SVE101</t>
  </si>
  <si>
    <t>S. Virani Electronics &amp; Computers Ltd</t>
  </si>
  <si>
    <t>s.viranielectronicscomputers@hotmail.com</t>
  </si>
  <si>
    <t xml:space="preserve">0788842385 / </t>
  </si>
  <si>
    <t>SWT105</t>
  </si>
  <si>
    <t>Security World Technology Ltd</t>
  </si>
  <si>
    <t>procure@securityworldtech.co.ug</t>
  </si>
  <si>
    <t>0750086393 / 0750086393</t>
  </si>
  <si>
    <t>SYA100</t>
  </si>
  <si>
    <t>SYNTECH  ASSOCIATES LTD</t>
  </si>
  <si>
    <t>bwanyama@syntechug.com</t>
  </si>
  <si>
    <t xml:space="preserve">+256777738053 / </t>
  </si>
  <si>
    <t>SYN100</t>
  </si>
  <si>
    <t>Synergy Enterprises ltd</t>
  </si>
  <si>
    <t>nsimberobert@gmail.com</t>
  </si>
  <si>
    <t>0773346497 / 0783688495</t>
  </si>
  <si>
    <t>TAE100</t>
  </si>
  <si>
    <t>Technology Associates Ltd</t>
  </si>
  <si>
    <t>sitaram@techno-associates.co.ug</t>
  </si>
  <si>
    <t>TCS100</t>
  </si>
  <si>
    <t>TECHMAN COMPUTER SOLUTIONS</t>
  </si>
  <si>
    <t>teckmanco@gmail.com</t>
  </si>
  <si>
    <t xml:space="preserve">+256414341289 / </t>
  </si>
  <si>
    <t>TDY100</t>
  </si>
  <si>
    <t>Technology Dynasty SMC Limited</t>
  </si>
  <si>
    <t>okamua@gmail.com</t>
  </si>
  <si>
    <t>0780177840 / 0780177840</t>
  </si>
  <si>
    <t>TEL100</t>
  </si>
  <si>
    <t>Teltec Investments Limited</t>
  </si>
  <si>
    <t>projects@teltec.co.ug</t>
  </si>
  <si>
    <t>256759200466 / 752200462</t>
  </si>
  <si>
    <t>TES100</t>
  </si>
  <si>
    <t>TECHSYS LTD</t>
  </si>
  <si>
    <t>kalinaki@techsysug.net</t>
  </si>
  <si>
    <t>0752962310 / 0772262006</t>
  </si>
  <si>
    <t>TIN100</t>
  </si>
  <si>
    <t>Tinosoft Ltd</t>
  </si>
  <si>
    <t>Peter.Kitaka@tinosoft.com</t>
  </si>
  <si>
    <t>256700855723 / 256790855723</t>
  </si>
  <si>
    <t>TMT105</t>
  </si>
  <si>
    <t>TMT Technologies (U) Ltd</t>
  </si>
  <si>
    <t>tmt.technologies123@gmail.com</t>
  </si>
  <si>
    <t>0753369906 / 0706665283</t>
  </si>
  <si>
    <t>TNS100</t>
  </si>
  <si>
    <t>THE NET SHOP</t>
  </si>
  <si>
    <t>thenetshopltd@yahoo.com</t>
  </si>
  <si>
    <t>0414251544 / 0776251544</t>
  </si>
  <si>
    <t>TRA100</t>
  </si>
  <si>
    <t>TRAVEL PORT UGANDA</t>
  </si>
  <si>
    <t>christine.busingye@travelport.co.ug</t>
  </si>
  <si>
    <t>0775579257 / 0414341987</t>
  </si>
  <si>
    <t>TRI100</t>
  </si>
  <si>
    <t>TRUST RANGE INTERNATIONAL LTD</t>
  </si>
  <si>
    <t>trustrangei@gmail.com</t>
  </si>
  <si>
    <t>0707801801 / 0707801801</t>
  </si>
  <si>
    <t>TRO100</t>
  </si>
  <si>
    <t>TROXON ELECTRIC LTD</t>
  </si>
  <si>
    <t>troxonelectric@gmail.com</t>
  </si>
  <si>
    <t xml:space="preserve">0777230198 / </t>
  </si>
  <si>
    <t>TRT100</t>
  </si>
  <si>
    <t>Transtel Ltd</t>
  </si>
  <si>
    <t>siddaraju@transtel.co.ug</t>
  </si>
  <si>
    <t>256703960092 / 256707627888</t>
  </si>
  <si>
    <t>TSL105</t>
  </si>
  <si>
    <t>Techno solutions ltd</t>
  </si>
  <si>
    <t>haiderkassim786@gmail.com</t>
  </si>
  <si>
    <t>TTL102</t>
  </si>
  <si>
    <t>TONG TECHNOLOGIES LTD</t>
  </si>
  <si>
    <t>tongtechnologies101@gmail.com</t>
  </si>
  <si>
    <t>0751855125 / 0779605849</t>
  </si>
  <si>
    <t>TVL100</t>
  </si>
  <si>
    <t>True Value Computers Ltd</t>
  </si>
  <si>
    <t>truevalueafrica@gmail.com</t>
  </si>
  <si>
    <t xml:space="preserve">0751786123 / </t>
  </si>
  <si>
    <t>TZK100</t>
  </si>
  <si>
    <t>TZK Uganda Ltd</t>
  </si>
  <si>
    <t>tipex55@yahoo.co.uk</t>
  </si>
  <si>
    <t xml:space="preserve">0782384025 / </t>
  </si>
  <si>
    <t>UCL100</t>
  </si>
  <si>
    <t>united computers ltd</t>
  </si>
  <si>
    <t>unitedcomputers.ug@gmail.com</t>
  </si>
  <si>
    <t>0756625843 / 0756626595</t>
  </si>
  <si>
    <t>UNI100</t>
  </si>
  <si>
    <t>Universal computers</t>
  </si>
  <si>
    <t>universalcomputerug@gmail.com</t>
  </si>
  <si>
    <t>0759511119 / 0701337555</t>
  </si>
  <si>
    <t>VDL100</t>
  </si>
  <si>
    <t>Vidishral Limited</t>
  </si>
  <si>
    <t>consult@vidishral.com</t>
  </si>
  <si>
    <t>0774541888 / 0752225567</t>
  </si>
  <si>
    <t>VEI</t>
  </si>
  <si>
    <t>VENUS INOSYS LTD</t>
  </si>
  <si>
    <t>venusinfosysltd@gmail.com</t>
  </si>
  <si>
    <t xml:space="preserve">0756230017 / </t>
  </si>
  <si>
    <t>VOS100</t>
  </si>
  <si>
    <t>Voste Solutions Limited</t>
  </si>
  <si>
    <t>vostesolutions@gmail.com</t>
  </si>
  <si>
    <t>0776499859 / 0757837436</t>
  </si>
  <si>
    <t>WCT100</t>
  </si>
  <si>
    <t>World Class Technologies Ltd</t>
  </si>
  <si>
    <t>wctuganda@gmail.com</t>
  </si>
  <si>
    <t>0704402924 / 0414690444</t>
  </si>
  <si>
    <t>WDE100</t>
  </si>
  <si>
    <t>Wald Electronics</t>
  </si>
  <si>
    <t>waldelectronics@gmail.com</t>
  </si>
  <si>
    <t>0788163559 / 0788163559</t>
  </si>
  <si>
    <t>WEB100</t>
  </si>
  <si>
    <t>WEBINFONET</t>
  </si>
  <si>
    <t>info@webinfo-net.co.ug</t>
  </si>
  <si>
    <t xml:space="preserve">256700592971 / </t>
  </si>
  <si>
    <t>WEP</t>
  </si>
  <si>
    <t>WEPLINK LIMITED</t>
  </si>
  <si>
    <t>weplinkug@gmail.com</t>
  </si>
  <si>
    <t>256753200834 / 256753200833</t>
  </si>
  <si>
    <t>WMA100</t>
  </si>
  <si>
    <t>WMA Service and Solutions Limited</t>
  </si>
  <si>
    <t>info@wmaservices.com</t>
  </si>
  <si>
    <t>0779844617 / 0791209753</t>
  </si>
  <si>
    <t>DYNAZAM</t>
  </si>
  <si>
    <t>Network Dynamics Limited</t>
  </si>
  <si>
    <t>ZA</t>
  </si>
  <si>
    <t>ZAMBIA</t>
  </si>
  <si>
    <t>mokonzi2011@gmail.com</t>
  </si>
  <si>
    <t xml:space="preserve">0977775796 / </t>
  </si>
  <si>
    <t>JAREYMAN</t>
  </si>
  <si>
    <t>Jareyman Enterprises</t>
  </si>
  <si>
    <t>jareyman@yahoo.com</t>
  </si>
  <si>
    <t>0979334123 / 0966207912</t>
  </si>
  <si>
    <t>LIGHTMAN</t>
  </si>
  <si>
    <t>Lightman Solutions</t>
  </si>
  <si>
    <t>Lightmansolutionzltd@gmail.com</t>
  </si>
  <si>
    <t>SAPZM</t>
  </si>
  <si>
    <t>ATC300</t>
  </si>
  <si>
    <t>AT COMPUTERS LTD</t>
  </si>
  <si>
    <t>aclkit@gmail.com</t>
  </si>
  <si>
    <t>212225470 / 260966787787</t>
  </si>
  <si>
    <t>BIL300</t>
  </si>
  <si>
    <t>Bethphage investments ltd</t>
  </si>
  <si>
    <t>ibellacasa@yahoo.com</t>
  </si>
  <si>
    <t>0971881360 / 0955529844</t>
  </si>
  <si>
    <t>CHB300</t>
  </si>
  <si>
    <t>Chesha Business Solutions Ltd</t>
  </si>
  <si>
    <t>killian.himwaze@cheshabusiness.com</t>
  </si>
  <si>
    <t>0978278275 / 0954023972</t>
  </si>
  <si>
    <t>CIS300</t>
  </si>
  <si>
    <t>Commercial IT Services</t>
  </si>
  <si>
    <t>kennedy.nalumpa@commercial-it-services.com</t>
  </si>
  <si>
    <t>COE300</t>
  </si>
  <si>
    <t>Computer Express</t>
  </si>
  <si>
    <t>rehan@compex.co.zm</t>
  </si>
  <si>
    <t>0211225035 / +260966761371</t>
  </si>
  <si>
    <t>CPL300</t>
  </si>
  <si>
    <t>COMPUTER PARTNERS LIMITED</t>
  </si>
  <si>
    <t>nambala@computerpartnersltd.com</t>
  </si>
  <si>
    <t xml:space="preserve">260978731089 / </t>
  </si>
  <si>
    <t>DIP300</t>
  </si>
  <si>
    <t>DIPLOSAT COMMUNICATION LTD</t>
  </si>
  <si>
    <t>diplosatcommunications@gmail.com</t>
  </si>
  <si>
    <t>0965722190 / 0966755755</t>
  </si>
  <si>
    <t>DNL300</t>
  </si>
  <si>
    <t>DATA-NET LIMITED</t>
  </si>
  <si>
    <t>data-net@zambia.co.zm</t>
  </si>
  <si>
    <t>0978091497 / 0977707764</t>
  </si>
  <si>
    <t>DOC300</t>
  </si>
  <si>
    <t>DOCOII LTD</t>
  </si>
  <si>
    <t>sales@docoii.com</t>
  </si>
  <si>
    <t>0978738071 / 0977588886</t>
  </si>
  <si>
    <t>DOS300</t>
  </si>
  <si>
    <t>DIGITAL OCEAN SOLUTIONS</t>
  </si>
  <si>
    <t>digitalocean.lsk@gmail.com</t>
  </si>
  <si>
    <t>0974003535 / +260974003535</t>
  </si>
  <si>
    <t>DVS300</t>
  </si>
  <si>
    <t>DIGITAL VENTURE SOLUTION</t>
  </si>
  <si>
    <t>shubham@dvs.co.zm</t>
  </si>
  <si>
    <t>260979625333 / 260211287175</t>
  </si>
  <si>
    <t>GOS300</t>
  </si>
  <si>
    <t>Genesis Office Systems Zambia</t>
  </si>
  <si>
    <t>shaun@genesis.com.zm</t>
  </si>
  <si>
    <t>260966645009 / 260211226214</t>
  </si>
  <si>
    <t>IBS300</t>
  </si>
  <si>
    <t>Integrated Business Solutions Ltd</t>
  </si>
  <si>
    <t>Titus@ibs.co.zm</t>
  </si>
  <si>
    <t>0955362614 / +260211255339</t>
  </si>
  <si>
    <t>INF300</t>
  </si>
  <si>
    <t>INFOSEC ZAMBIA LTD</t>
  </si>
  <si>
    <t>ronak@infosec.co.zm</t>
  </si>
  <si>
    <t>979874244 / 954154814</t>
  </si>
  <si>
    <t>KAB300</t>
  </si>
  <si>
    <t>KABTECH SOLUTIONS</t>
  </si>
  <si>
    <t>kabtecsolutions@yahoo.com</t>
  </si>
  <si>
    <t>LAS300</t>
  </si>
  <si>
    <t>LANTECH BUSINESS SOLUTIONS LIMITED</t>
  </si>
  <si>
    <t>mulengafred@hotmail.com</t>
  </si>
  <si>
    <t>0955437760 / 0978443475</t>
  </si>
  <si>
    <t>MIE300</t>
  </si>
  <si>
    <t>Mash- Ink Enterprises</t>
  </si>
  <si>
    <t>sales@mash-ink.com</t>
  </si>
  <si>
    <t>0955318000 / 0764171812</t>
  </si>
  <si>
    <t>MSL300</t>
  </si>
  <si>
    <t>Microsource Limited</t>
  </si>
  <si>
    <t>JituKM@Microsource.co.zm</t>
  </si>
  <si>
    <t>MTG300</t>
  </si>
  <si>
    <t>MIKE-TECH GENERAL DEALERS LIMITED</t>
  </si>
  <si>
    <t>coo@miketechzambia.com</t>
  </si>
  <si>
    <t xml:space="preserve">260955846199 / </t>
  </si>
  <si>
    <t>NOF300</t>
  </si>
  <si>
    <t>Nof Solutions</t>
  </si>
  <si>
    <t>Nofsolutions@outlook.com</t>
  </si>
  <si>
    <t>NSZ300</t>
  </si>
  <si>
    <t>Night Sight Zambia Ltd</t>
  </si>
  <si>
    <t>jacques@nsz.co.zm</t>
  </si>
  <si>
    <t xml:space="preserve">0964214504 / </t>
  </si>
  <si>
    <t>PBS300</t>
  </si>
  <si>
    <t>PROTECH BUSINESS SOLUTIONS</t>
  </si>
  <si>
    <t>protechcomputers2010@gmail.com</t>
  </si>
  <si>
    <t>0975149408 / 0975149408</t>
  </si>
  <si>
    <t>PHL300</t>
  </si>
  <si>
    <t>Provectus Holdings Limited</t>
  </si>
  <si>
    <t>YZIMBA@GMAIL.COM</t>
  </si>
  <si>
    <t>0962124080 / 00977235692</t>
  </si>
  <si>
    <t>PTL300</t>
  </si>
  <si>
    <t>Precision Technologies Ltd</t>
  </si>
  <si>
    <t>chrispine.banda@precisionzm.com</t>
  </si>
  <si>
    <t>260978216944 / 260211236944</t>
  </si>
  <si>
    <t>RAC300</t>
  </si>
  <si>
    <t>RA Consulting Services (Z) LTD</t>
  </si>
  <si>
    <t>marketing@racsafrica.com</t>
  </si>
  <si>
    <t xml:space="preserve">0211295000 / </t>
  </si>
  <si>
    <t>RTL300</t>
  </si>
  <si>
    <t>Reliance Technology Ltd</t>
  </si>
  <si>
    <t>manohar@reliancezambia.com</t>
  </si>
  <si>
    <t>0977650121 / 211256125</t>
  </si>
  <si>
    <t>SIL300</t>
  </si>
  <si>
    <t>Shreeji Investments Ltd</t>
  </si>
  <si>
    <t>shiv@shreeji.co.zm</t>
  </si>
  <si>
    <t xml:space="preserve">977877541 / </t>
  </si>
  <si>
    <t>SOS300</t>
  </si>
  <si>
    <t>Silverlight Office Systems Ltd</t>
  </si>
  <si>
    <t>SilverlightOffice@zambia.co.zm</t>
  </si>
  <si>
    <t>0260955107290 / 0260955462414</t>
  </si>
  <si>
    <t>SPB300</t>
  </si>
  <si>
    <t>Synergy Plus Business Solutions Limited</t>
  </si>
  <si>
    <t>mwamba@synergyplusafrica.com</t>
  </si>
  <si>
    <t xml:space="preserve">260955264125 / </t>
  </si>
  <si>
    <t>SZE300</t>
  </si>
  <si>
    <t>Sub Zero Electronics</t>
  </si>
  <si>
    <t>subzero98.cc@gmail.com</t>
  </si>
  <si>
    <t>0977785250 / 0966785250</t>
  </si>
  <si>
    <t>SZL300</t>
  </si>
  <si>
    <t>SAYONA ZAMBIA LTD</t>
  </si>
  <si>
    <t>tarun.kalla@sayonazambia.com</t>
  </si>
  <si>
    <t xml:space="preserve">970173223 / </t>
  </si>
  <si>
    <t>TDC300</t>
  </si>
  <si>
    <t>Tigmoo Dot Com Limited</t>
  </si>
  <si>
    <t>vikas.1181@gmail.com</t>
  </si>
  <si>
    <t xml:space="preserve">09711311398 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</si>
</sst>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26CA0-10A6-4285-9FE1-45350D6145AD}">
  <dimension ref="A1:O1163"/>
  <sheetViews>
    <sheetView tabSelected="1" workbookViewId="0">
      <pane ySplit="1" topLeftCell="A424" activePane="bottomLeft" state="frozen"/>
      <selection pane="bottomLeft" activeCell="B1" sqref="B1"/>
    </sheetView>
  </sheetViews>
  <sheetFormatPr defaultRowHeight="14.4" x14ac:dyDescent="0.3"/>
  <cols>
    <col min="1" max="1" width="11.21875" bestFit="1" customWidth="1"/>
    <col min="2" max="2" width="16" bestFit="1" customWidth="1"/>
    <col min="3" max="3" width="64.77734375" bestFit="1" customWidth="1"/>
    <col min="4" max="4" width="11.6640625" bestFit="1" customWidth="1"/>
    <col min="5" max="5" width="9.44140625" bestFit="1" customWidth="1"/>
    <col min="6" max="6" width="40.44140625" bestFit="1" customWidth="1"/>
    <col min="7" max="7" width="29.109375" bestFit="1" customWidth="1"/>
    <col min="8" max="8" width="7.5546875" bestFit="1" customWidth="1"/>
    <col min="9" max="9" width="9.33203125" bestFit="1" customWidth="1"/>
    <col min="10" max="11" width="7" bestFit="1" customWidth="1"/>
    <col min="12" max="12" width="12.21875" bestFit="1" customWidth="1"/>
    <col min="13" max="13" width="13.6640625" bestFit="1" customWidth="1"/>
    <col min="14" max="14" width="7.33203125" bestFit="1" customWidth="1"/>
    <col min="15" max="15" width="23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250</v>
      </c>
      <c r="J2">
        <v>2008</v>
      </c>
      <c r="K2">
        <v>0</v>
      </c>
      <c r="L2">
        <v>0</v>
      </c>
      <c r="M2">
        <v>250</v>
      </c>
      <c r="N2">
        <v>0</v>
      </c>
      <c r="O2">
        <v>0</v>
      </c>
    </row>
    <row r="3" spans="1:15" x14ac:dyDescent="0.3">
      <c r="A3" t="s">
        <v>15</v>
      </c>
      <c r="B3" t="s">
        <v>22</v>
      </c>
      <c r="C3" t="s">
        <v>23</v>
      </c>
      <c r="D3" t="s">
        <v>18</v>
      </c>
      <c r="E3" t="s">
        <v>19</v>
      </c>
      <c r="F3" t="s">
        <v>24</v>
      </c>
      <c r="G3" t="s">
        <v>25</v>
      </c>
      <c r="H3">
        <v>0</v>
      </c>
      <c r="I3">
        <v>250</v>
      </c>
      <c r="J3">
        <v>0</v>
      </c>
      <c r="K3">
        <v>0</v>
      </c>
      <c r="L3">
        <v>0</v>
      </c>
      <c r="M3">
        <v>250</v>
      </c>
      <c r="N3">
        <v>0</v>
      </c>
      <c r="O3">
        <v>0</v>
      </c>
    </row>
    <row r="4" spans="1:15" x14ac:dyDescent="0.3">
      <c r="A4" t="s">
        <v>26</v>
      </c>
      <c r="B4" t="s">
        <v>27</v>
      </c>
      <c r="C4" t="s">
        <v>28</v>
      </c>
      <c r="D4" t="s">
        <v>18</v>
      </c>
      <c r="E4" t="s">
        <v>19</v>
      </c>
      <c r="F4" t="s">
        <v>29</v>
      </c>
      <c r="G4" t="s">
        <v>30</v>
      </c>
      <c r="H4">
        <v>0</v>
      </c>
      <c r="I4">
        <v>250</v>
      </c>
      <c r="J4">
        <v>0</v>
      </c>
      <c r="K4">
        <v>0</v>
      </c>
      <c r="L4">
        <v>0</v>
      </c>
      <c r="M4">
        <v>250</v>
      </c>
      <c r="N4">
        <v>0</v>
      </c>
      <c r="O4">
        <v>0</v>
      </c>
    </row>
    <row r="5" spans="1:15" x14ac:dyDescent="0.3">
      <c r="A5" t="s">
        <v>26</v>
      </c>
      <c r="B5" t="s">
        <v>31</v>
      </c>
      <c r="C5" t="s">
        <v>32</v>
      </c>
      <c r="D5" t="s">
        <v>18</v>
      </c>
      <c r="E5" t="s">
        <v>19</v>
      </c>
      <c r="F5" t="s">
        <v>33</v>
      </c>
      <c r="G5" t="s">
        <v>34</v>
      </c>
      <c r="H5">
        <v>0</v>
      </c>
      <c r="I5">
        <v>250</v>
      </c>
      <c r="J5">
        <v>0</v>
      </c>
      <c r="K5">
        <v>0</v>
      </c>
      <c r="L5">
        <v>0</v>
      </c>
      <c r="M5">
        <v>250</v>
      </c>
      <c r="N5">
        <v>0</v>
      </c>
      <c r="O5">
        <v>0</v>
      </c>
    </row>
    <row r="6" spans="1:15" x14ac:dyDescent="0.3">
      <c r="A6" t="s">
        <v>26</v>
      </c>
      <c r="B6" t="s">
        <v>35</v>
      </c>
      <c r="C6" t="s">
        <v>36</v>
      </c>
      <c r="D6" t="s">
        <v>18</v>
      </c>
      <c r="E6" t="s">
        <v>19</v>
      </c>
      <c r="F6" t="s">
        <v>37</v>
      </c>
      <c r="G6" t="s">
        <v>38</v>
      </c>
      <c r="H6">
        <v>0</v>
      </c>
      <c r="I6">
        <v>4752</v>
      </c>
      <c r="J6">
        <v>0</v>
      </c>
      <c r="K6">
        <v>810</v>
      </c>
      <c r="L6">
        <v>0</v>
      </c>
      <c r="M6">
        <v>4752</v>
      </c>
      <c r="N6">
        <v>0</v>
      </c>
      <c r="O6">
        <v>0</v>
      </c>
    </row>
    <row r="7" spans="1:15" x14ac:dyDescent="0.3">
      <c r="A7" t="s">
        <v>26</v>
      </c>
      <c r="B7" t="s">
        <v>39</v>
      </c>
      <c r="C7" t="s">
        <v>40</v>
      </c>
      <c r="D7" t="s">
        <v>18</v>
      </c>
      <c r="E7" t="s">
        <v>19</v>
      </c>
      <c r="F7" t="s">
        <v>41</v>
      </c>
      <c r="G7" t="s">
        <v>42</v>
      </c>
      <c r="H7">
        <v>0</v>
      </c>
      <c r="I7">
        <v>250</v>
      </c>
      <c r="J7">
        <v>11446</v>
      </c>
      <c r="K7">
        <v>1237</v>
      </c>
      <c r="L7">
        <v>0</v>
      </c>
      <c r="M7">
        <v>250</v>
      </c>
      <c r="N7">
        <v>0</v>
      </c>
      <c r="O7">
        <v>0</v>
      </c>
    </row>
    <row r="8" spans="1:15" x14ac:dyDescent="0.3">
      <c r="A8" t="s">
        <v>26</v>
      </c>
      <c r="B8" t="s">
        <v>43</v>
      </c>
      <c r="C8" t="s">
        <v>44</v>
      </c>
      <c r="D8" t="s">
        <v>18</v>
      </c>
      <c r="E8" t="s">
        <v>19</v>
      </c>
      <c r="F8" t="s">
        <v>45</v>
      </c>
      <c r="G8" t="s">
        <v>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t="s">
        <v>26</v>
      </c>
      <c r="B9" t="s">
        <v>47</v>
      </c>
      <c r="C9" t="s">
        <v>48</v>
      </c>
      <c r="D9" t="s">
        <v>18</v>
      </c>
      <c r="E9" t="s">
        <v>19</v>
      </c>
      <c r="F9" t="s">
        <v>49</v>
      </c>
      <c r="G9" t="s">
        <v>50</v>
      </c>
      <c r="H9">
        <v>0</v>
      </c>
      <c r="I9">
        <v>393</v>
      </c>
      <c r="J9">
        <v>1125</v>
      </c>
      <c r="K9">
        <v>0</v>
      </c>
      <c r="L9">
        <v>0</v>
      </c>
      <c r="M9">
        <v>250</v>
      </c>
      <c r="N9">
        <v>0</v>
      </c>
      <c r="O9">
        <v>0</v>
      </c>
    </row>
    <row r="10" spans="1:15" x14ac:dyDescent="0.3">
      <c r="A10" t="s">
        <v>26</v>
      </c>
      <c r="B10" t="s">
        <v>51</v>
      </c>
      <c r="C10" t="s">
        <v>52</v>
      </c>
      <c r="D10" t="s">
        <v>18</v>
      </c>
      <c r="E10" t="s">
        <v>19</v>
      </c>
      <c r="F10" t="s">
        <v>53</v>
      </c>
      <c r="G10" t="s">
        <v>54</v>
      </c>
      <c r="H10">
        <v>0</v>
      </c>
      <c r="I10">
        <v>250</v>
      </c>
      <c r="J10">
        <v>0</v>
      </c>
      <c r="K10">
        <v>0</v>
      </c>
      <c r="L10">
        <v>0</v>
      </c>
      <c r="M10">
        <v>250</v>
      </c>
      <c r="N10">
        <v>0</v>
      </c>
      <c r="O10">
        <v>0</v>
      </c>
    </row>
    <row r="11" spans="1:15" x14ac:dyDescent="0.3">
      <c r="A11" t="s">
        <v>26</v>
      </c>
      <c r="B11" t="s">
        <v>55</v>
      </c>
      <c r="C11" t="s">
        <v>56</v>
      </c>
      <c r="D11" t="s">
        <v>18</v>
      </c>
      <c r="E11" t="s">
        <v>19</v>
      </c>
      <c r="F11" t="s">
        <v>57</v>
      </c>
      <c r="G11" t="s">
        <v>58</v>
      </c>
      <c r="H11">
        <v>0</v>
      </c>
      <c r="I11">
        <v>250</v>
      </c>
      <c r="J11">
        <v>0</v>
      </c>
      <c r="K11">
        <v>0</v>
      </c>
      <c r="L11">
        <v>0</v>
      </c>
      <c r="M11">
        <v>250</v>
      </c>
      <c r="N11">
        <v>0</v>
      </c>
      <c r="O11">
        <v>0</v>
      </c>
    </row>
    <row r="12" spans="1:15" x14ac:dyDescent="0.3">
      <c r="A12" t="s">
        <v>26</v>
      </c>
      <c r="B12" t="s">
        <v>59</v>
      </c>
      <c r="C12" t="s">
        <v>60</v>
      </c>
      <c r="D12" t="s">
        <v>18</v>
      </c>
      <c r="E12" t="s">
        <v>19</v>
      </c>
      <c r="F12" t="s">
        <v>61</v>
      </c>
      <c r="G12" t="s">
        <v>62</v>
      </c>
      <c r="H12">
        <v>0</v>
      </c>
      <c r="I12">
        <v>1069</v>
      </c>
      <c r="J12">
        <v>0</v>
      </c>
      <c r="K12">
        <v>0</v>
      </c>
      <c r="L12">
        <v>0</v>
      </c>
      <c r="M12">
        <v>1069</v>
      </c>
      <c r="N12">
        <v>0</v>
      </c>
      <c r="O12">
        <v>0</v>
      </c>
    </row>
    <row r="13" spans="1:15" x14ac:dyDescent="0.3">
      <c r="A13" t="s">
        <v>26</v>
      </c>
      <c r="B13" t="s">
        <v>63</v>
      </c>
      <c r="C13" t="s">
        <v>64</v>
      </c>
      <c r="D13" t="s">
        <v>18</v>
      </c>
      <c r="E13" t="s">
        <v>19</v>
      </c>
      <c r="F13" t="s">
        <v>65</v>
      </c>
      <c r="G13">
        <f>254704784558 / 254704784558</f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t="s">
        <v>26</v>
      </c>
      <c r="B14" t="s">
        <v>66</v>
      </c>
      <c r="C14" t="s">
        <v>67</v>
      </c>
      <c r="D14" t="s">
        <v>18</v>
      </c>
      <c r="E14" t="s">
        <v>19</v>
      </c>
      <c r="F14" t="s">
        <v>68</v>
      </c>
      <c r="G14" t="s">
        <v>69</v>
      </c>
      <c r="H14">
        <v>0</v>
      </c>
      <c r="I14">
        <v>250</v>
      </c>
      <c r="J14">
        <v>0</v>
      </c>
      <c r="K14">
        <v>0</v>
      </c>
      <c r="L14">
        <v>0</v>
      </c>
      <c r="M14">
        <v>250</v>
      </c>
      <c r="N14">
        <v>0</v>
      </c>
      <c r="O14">
        <v>0</v>
      </c>
    </row>
    <row r="15" spans="1:15" x14ac:dyDescent="0.3">
      <c r="A15" t="s">
        <v>26</v>
      </c>
      <c r="B15" t="s">
        <v>70</v>
      </c>
      <c r="C15" t="s">
        <v>71</v>
      </c>
      <c r="D15" t="s">
        <v>18</v>
      </c>
      <c r="E15" t="s">
        <v>19</v>
      </c>
      <c r="F15" t="s">
        <v>72</v>
      </c>
      <c r="G15" t="s">
        <v>73</v>
      </c>
      <c r="H15">
        <v>0</v>
      </c>
      <c r="I15">
        <v>250</v>
      </c>
      <c r="J15">
        <v>0</v>
      </c>
      <c r="K15">
        <v>0</v>
      </c>
      <c r="L15">
        <v>0</v>
      </c>
      <c r="M15">
        <v>250</v>
      </c>
      <c r="N15">
        <v>0</v>
      </c>
      <c r="O15">
        <v>0</v>
      </c>
    </row>
    <row r="16" spans="1:15" x14ac:dyDescent="0.3">
      <c r="A16" t="s">
        <v>26</v>
      </c>
      <c r="B16" t="s">
        <v>74</v>
      </c>
      <c r="C16" t="s">
        <v>75</v>
      </c>
      <c r="D16" t="s">
        <v>18</v>
      </c>
      <c r="E16" t="s">
        <v>19</v>
      </c>
      <c r="F16" t="s">
        <v>76</v>
      </c>
      <c r="G16" t="s">
        <v>77</v>
      </c>
      <c r="H16">
        <v>0</v>
      </c>
      <c r="I16">
        <v>250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 t="s">
        <v>26</v>
      </c>
      <c r="B17" t="s">
        <v>78</v>
      </c>
      <c r="C17" t="s">
        <v>79</v>
      </c>
      <c r="D17" t="s">
        <v>18</v>
      </c>
      <c r="E17" t="s">
        <v>19</v>
      </c>
      <c r="F17" t="s">
        <v>80</v>
      </c>
      <c r="G17" t="s">
        <v>81</v>
      </c>
      <c r="H17">
        <v>296</v>
      </c>
      <c r="I17">
        <v>1158</v>
      </c>
      <c r="J17">
        <v>335</v>
      </c>
      <c r="K17">
        <v>154</v>
      </c>
      <c r="L17">
        <v>0</v>
      </c>
      <c r="M17">
        <v>1158</v>
      </c>
      <c r="N17">
        <v>0</v>
      </c>
      <c r="O17">
        <v>0</v>
      </c>
    </row>
    <row r="18" spans="1:15" x14ac:dyDescent="0.3">
      <c r="A18" t="s">
        <v>26</v>
      </c>
      <c r="B18" t="s">
        <v>82</v>
      </c>
      <c r="C18" t="s">
        <v>83</v>
      </c>
      <c r="D18" t="s">
        <v>18</v>
      </c>
      <c r="E18" t="s">
        <v>19</v>
      </c>
      <c r="F18" t="s">
        <v>84</v>
      </c>
      <c r="G18" t="s">
        <v>85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 t="s">
        <v>26</v>
      </c>
      <c r="B19" t="s">
        <v>86</v>
      </c>
      <c r="C19" t="s">
        <v>87</v>
      </c>
      <c r="D19" t="s">
        <v>18</v>
      </c>
      <c r="E19" t="s">
        <v>19</v>
      </c>
      <c r="F19" t="s">
        <v>88</v>
      </c>
      <c r="G19" t="s">
        <v>89</v>
      </c>
      <c r="H19">
        <v>5322</v>
      </c>
      <c r="I19">
        <v>15991</v>
      </c>
      <c r="J19">
        <v>6989</v>
      </c>
      <c r="K19">
        <v>0</v>
      </c>
      <c r="L19">
        <v>0</v>
      </c>
      <c r="M19">
        <v>10306</v>
      </c>
      <c r="N19">
        <v>0</v>
      </c>
      <c r="O19">
        <v>0</v>
      </c>
    </row>
    <row r="20" spans="1:15" x14ac:dyDescent="0.3">
      <c r="A20" t="s">
        <v>26</v>
      </c>
      <c r="B20" t="s">
        <v>90</v>
      </c>
      <c r="C20" t="s">
        <v>91</v>
      </c>
      <c r="D20" t="s">
        <v>18</v>
      </c>
      <c r="E20" t="s">
        <v>19</v>
      </c>
      <c r="F20" t="s">
        <v>92</v>
      </c>
      <c r="G20" t="s">
        <v>93</v>
      </c>
      <c r="H20">
        <v>0</v>
      </c>
      <c r="I20">
        <v>3506</v>
      </c>
      <c r="J20">
        <v>407</v>
      </c>
      <c r="K20">
        <v>0</v>
      </c>
      <c r="L20">
        <v>0</v>
      </c>
      <c r="M20">
        <v>1745</v>
      </c>
      <c r="N20">
        <v>0</v>
      </c>
      <c r="O20">
        <v>0</v>
      </c>
    </row>
    <row r="21" spans="1:15" x14ac:dyDescent="0.3">
      <c r="A21" t="s">
        <v>26</v>
      </c>
      <c r="B21" t="s">
        <v>94</v>
      </c>
      <c r="C21" t="s">
        <v>95</v>
      </c>
      <c r="D21" t="s">
        <v>18</v>
      </c>
      <c r="E21" t="s">
        <v>19</v>
      </c>
      <c r="F21" t="s">
        <v>96</v>
      </c>
      <c r="G21" t="s">
        <v>97</v>
      </c>
      <c r="H21">
        <v>0</v>
      </c>
      <c r="I21">
        <v>250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">
      <c r="A22" t="s">
        <v>26</v>
      </c>
      <c r="B22" t="s">
        <v>98</v>
      </c>
      <c r="C22" t="s">
        <v>99</v>
      </c>
      <c r="D22" t="s">
        <v>18</v>
      </c>
      <c r="E22" t="s">
        <v>19</v>
      </c>
      <c r="F22" t="s">
        <v>100</v>
      </c>
      <c r="G22" t="s">
        <v>101</v>
      </c>
      <c r="H22">
        <v>0</v>
      </c>
      <c r="I22">
        <v>250</v>
      </c>
      <c r="J22">
        <v>0</v>
      </c>
      <c r="K22">
        <v>0</v>
      </c>
      <c r="L22">
        <v>0</v>
      </c>
      <c r="M22">
        <v>250</v>
      </c>
      <c r="N22">
        <v>0</v>
      </c>
      <c r="O22">
        <v>0</v>
      </c>
    </row>
    <row r="23" spans="1:15" x14ac:dyDescent="0.3">
      <c r="A23" t="s">
        <v>26</v>
      </c>
      <c r="B23" t="s">
        <v>102</v>
      </c>
      <c r="C23" t="s">
        <v>103</v>
      </c>
      <c r="D23" t="s">
        <v>18</v>
      </c>
      <c r="E23" t="s">
        <v>19</v>
      </c>
      <c r="F23" t="s">
        <v>104</v>
      </c>
      <c r="G23" t="s">
        <v>105</v>
      </c>
      <c r="H23">
        <v>0</v>
      </c>
      <c r="I23">
        <v>250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">
      <c r="A24" t="s">
        <v>26</v>
      </c>
      <c r="B24" t="s">
        <v>106</v>
      </c>
      <c r="C24" t="s">
        <v>107</v>
      </c>
      <c r="D24" t="s">
        <v>18</v>
      </c>
      <c r="E24" t="s">
        <v>19</v>
      </c>
      <c r="F24" t="s">
        <v>108</v>
      </c>
      <c r="G24" t="s">
        <v>109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 t="s">
        <v>26</v>
      </c>
      <c r="B25" t="s">
        <v>110</v>
      </c>
      <c r="C25" t="s">
        <v>111</v>
      </c>
      <c r="D25" t="s">
        <v>18</v>
      </c>
      <c r="E25" t="s">
        <v>19</v>
      </c>
      <c r="F25" t="s">
        <v>112</v>
      </c>
      <c r="G25" t="s">
        <v>113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t="s">
        <v>26</v>
      </c>
      <c r="B26" t="s">
        <v>114</v>
      </c>
      <c r="C26" t="s">
        <v>115</v>
      </c>
      <c r="D26" t="s">
        <v>18</v>
      </c>
      <c r="E26" t="s">
        <v>19</v>
      </c>
      <c r="F26" t="s">
        <v>116</v>
      </c>
      <c r="G26" t="s">
        <v>117</v>
      </c>
      <c r="H26">
        <v>0</v>
      </c>
      <c r="I26">
        <v>250</v>
      </c>
      <c r="J26">
        <v>0</v>
      </c>
      <c r="K26">
        <v>168</v>
      </c>
      <c r="L26">
        <v>0</v>
      </c>
      <c r="M26">
        <v>250</v>
      </c>
      <c r="N26">
        <v>0</v>
      </c>
      <c r="O26">
        <v>0</v>
      </c>
    </row>
    <row r="27" spans="1:15" x14ac:dyDescent="0.3">
      <c r="A27" t="s">
        <v>26</v>
      </c>
      <c r="B27" t="s">
        <v>118</v>
      </c>
      <c r="C27" t="s">
        <v>119</v>
      </c>
      <c r="D27" t="s">
        <v>18</v>
      </c>
      <c r="E27" t="s">
        <v>19</v>
      </c>
      <c r="F27" t="s">
        <v>120</v>
      </c>
      <c r="G27" t="s">
        <v>121</v>
      </c>
      <c r="H27">
        <v>0</v>
      </c>
      <c r="I27">
        <v>250</v>
      </c>
      <c r="J27">
        <v>0</v>
      </c>
      <c r="K27">
        <v>0</v>
      </c>
      <c r="L27">
        <v>0</v>
      </c>
      <c r="M27">
        <v>250</v>
      </c>
      <c r="N27">
        <v>0</v>
      </c>
      <c r="O27">
        <v>0</v>
      </c>
    </row>
    <row r="28" spans="1:15" x14ac:dyDescent="0.3">
      <c r="A28" t="s">
        <v>26</v>
      </c>
      <c r="B28" t="s">
        <v>122</v>
      </c>
      <c r="C28" t="s">
        <v>123</v>
      </c>
      <c r="D28" t="s">
        <v>18</v>
      </c>
      <c r="E28" t="s">
        <v>19</v>
      </c>
      <c r="F28" t="s">
        <v>124</v>
      </c>
      <c r="G28" t="s">
        <v>125</v>
      </c>
      <c r="H28">
        <v>0</v>
      </c>
      <c r="I28">
        <v>250</v>
      </c>
      <c r="J28">
        <v>0</v>
      </c>
      <c r="K28">
        <v>0</v>
      </c>
      <c r="L28">
        <v>0</v>
      </c>
      <c r="M28">
        <v>250</v>
      </c>
      <c r="N28">
        <v>0</v>
      </c>
      <c r="O28">
        <v>0</v>
      </c>
    </row>
    <row r="29" spans="1:15" x14ac:dyDescent="0.3">
      <c r="A29" t="s">
        <v>26</v>
      </c>
      <c r="B29" t="s">
        <v>126</v>
      </c>
      <c r="C29" t="s">
        <v>127</v>
      </c>
      <c r="D29" t="s">
        <v>18</v>
      </c>
      <c r="E29" t="s">
        <v>19</v>
      </c>
      <c r="F29" t="s">
        <v>128</v>
      </c>
      <c r="G29" t="s">
        <v>129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">
      <c r="A30" t="s">
        <v>26</v>
      </c>
      <c r="B30" t="s">
        <v>130</v>
      </c>
      <c r="C30" t="s">
        <v>131</v>
      </c>
      <c r="D30" t="s">
        <v>18</v>
      </c>
      <c r="E30" t="s">
        <v>19</v>
      </c>
      <c r="F30" t="s">
        <v>132</v>
      </c>
      <c r="G30" t="s">
        <v>133</v>
      </c>
      <c r="H30">
        <v>0</v>
      </c>
      <c r="I30">
        <v>250</v>
      </c>
      <c r="J30">
        <v>0</v>
      </c>
      <c r="K30">
        <v>259</v>
      </c>
      <c r="L30">
        <v>0</v>
      </c>
      <c r="M30">
        <v>250</v>
      </c>
      <c r="N30">
        <v>0</v>
      </c>
      <c r="O30">
        <v>0</v>
      </c>
    </row>
    <row r="31" spans="1:15" x14ac:dyDescent="0.3">
      <c r="A31" t="s">
        <v>26</v>
      </c>
      <c r="B31" t="s">
        <v>134</v>
      </c>
      <c r="C31" t="s">
        <v>135</v>
      </c>
      <c r="D31" t="s">
        <v>18</v>
      </c>
      <c r="E31" t="s">
        <v>19</v>
      </c>
      <c r="F31" t="s">
        <v>136</v>
      </c>
      <c r="G31" t="s">
        <v>137</v>
      </c>
      <c r="H31">
        <v>0</v>
      </c>
      <c r="I31">
        <v>250</v>
      </c>
      <c r="J31">
        <v>0</v>
      </c>
      <c r="K31">
        <v>0</v>
      </c>
      <c r="L31">
        <v>0</v>
      </c>
      <c r="M31">
        <v>250</v>
      </c>
      <c r="N31">
        <v>0</v>
      </c>
      <c r="O31">
        <v>0</v>
      </c>
    </row>
    <row r="32" spans="1:15" x14ac:dyDescent="0.3">
      <c r="A32" t="s">
        <v>26</v>
      </c>
      <c r="B32" t="s">
        <v>138</v>
      </c>
      <c r="C32" t="s">
        <v>139</v>
      </c>
      <c r="D32" t="s">
        <v>18</v>
      </c>
      <c r="E32" t="s">
        <v>19</v>
      </c>
      <c r="F32" t="s">
        <v>140</v>
      </c>
      <c r="G32" t="s">
        <v>141</v>
      </c>
      <c r="H32">
        <v>0</v>
      </c>
      <c r="I32">
        <v>250</v>
      </c>
      <c r="J32">
        <v>0</v>
      </c>
      <c r="K32">
        <v>0</v>
      </c>
      <c r="L32">
        <v>0</v>
      </c>
      <c r="M32">
        <v>250</v>
      </c>
      <c r="N32">
        <v>0</v>
      </c>
      <c r="O32">
        <v>0</v>
      </c>
    </row>
    <row r="33" spans="1:15" x14ac:dyDescent="0.3">
      <c r="A33" t="s">
        <v>26</v>
      </c>
      <c r="B33" t="s">
        <v>142</v>
      </c>
      <c r="C33" t="s">
        <v>143</v>
      </c>
      <c r="D33" t="s">
        <v>18</v>
      </c>
      <c r="E33" t="s">
        <v>19</v>
      </c>
      <c r="F33" t="s">
        <v>144</v>
      </c>
      <c r="G33" t="s">
        <v>145</v>
      </c>
      <c r="H33">
        <v>2262</v>
      </c>
      <c r="I33">
        <v>933</v>
      </c>
      <c r="J33">
        <v>196</v>
      </c>
      <c r="K33">
        <v>0</v>
      </c>
      <c r="L33">
        <v>0</v>
      </c>
      <c r="M33">
        <v>658</v>
      </c>
      <c r="N33">
        <v>0</v>
      </c>
      <c r="O33">
        <v>0</v>
      </c>
    </row>
    <row r="34" spans="1:15" x14ac:dyDescent="0.3">
      <c r="A34" t="s">
        <v>26</v>
      </c>
      <c r="B34" t="s">
        <v>146</v>
      </c>
      <c r="C34" t="s">
        <v>147</v>
      </c>
      <c r="D34" t="s">
        <v>18</v>
      </c>
      <c r="E34" t="s">
        <v>19</v>
      </c>
      <c r="F34" t="s">
        <v>148</v>
      </c>
      <c r="G34" t="s">
        <v>149</v>
      </c>
      <c r="H34">
        <v>0</v>
      </c>
      <c r="I34">
        <v>250</v>
      </c>
      <c r="J34">
        <v>0</v>
      </c>
      <c r="K34">
        <v>0</v>
      </c>
      <c r="L34">
        <v>0</v>
      </c>
      <c r="M34">
        <v>250</v>
      </c>
      <c r="N34">
        <v>0</v>
      </c>
      <c r="O34">
        <v>0</v>
      </c>
    </row>
    <row r="35" spans="1:15" x14ac:dyDescent="0.3">
      <c r="A35" t="s">
        <v>26</v>
      </c>
      <c r="B35" t="s">
        <v>150</v>
      </c>
      <c r="C35" t="s">
        <v>151</v>
      </c>
      <c r="D35" t="s">
        <v>18</v>
      </c>
      <c r="E35" t="s">
        <v>19</v>
      </c>
      <c r="F35" t="s">
        <v>152</v>
      </c>
      <c r="G35" t="s">
        <v>153</v>
      </c>
      <c r="H35">
        <v>0</v>
      </c>
      <c r="I35">
        <v>250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 t="s">
        <v>26</v>
      </c>
      <c r="B36" t="s">
        <v>154</v>
      </c>
      <c r="C36" t="s">
        <v>155</v>
      </c>
      <c r="D36" t="s">
        <v>18</v>
      </c>
      <c r="E36" t="s">
        <v>19</v>
      </c>
      <c r="F36" t="s">
        <v>156</v>
      </c>
      <c r="G36" t="s">
        <v>157</v>
      </c>
      <c r="H36">
        <v>0</v>
      </c>
      <c r="I36">
        <v>250</v>
      </c>
      <c r="J36">
        <v>1563</v>
      </c>
      <c r="K36">
        <v>1154</v>
      </c>
      <c r="L36">
        <v>0</v>
      </c>
      <c r="M36">
        <v>250</v>
      </c>
      <c r="N36">
        <v>0</v>
      </c>
      <c r="O36">
        <v>0</v>
      </c>
    </row>
    <row r="37" spans="1:15" x14ac:dyDescent="0.3">
      <c r="A37" t="s">
        <v>26</v>
      </c>
      <c r="B37" t="s">
        <v>158</v>
      </c>
      <c r="C37" t="s">
        <v>159</v>
      </c>
      <c r="D37" t="s">
        <v>18</v>
      </c>
      <c r="E37" t="s">
        <v>19</v>
      </c>
      <c r="F37" t="s">
        <v>160</v>
      </c>
      <c r="G37" t="s">
        <v>161</v>
      </c>
      <c r="H37">
        <v>0</v>
      </c>
      <c r="I37">
        <v>250</v>
      </c>
      <c r="J37">
        <v>0</v>
      </c>
      <c r="K37">
        <v>0</v>
      </c>
      <c r="L37">
        <v>0</v>
      </c>
      <c r="M37">
        <v>250</v>
      </c>
      <c r="N37">
        <v>0</v>
      </c>
      <c r="O37">
        <v>0</v>
      </c>
    </row>
    <row r="38" spans="1:15" x14ac:dyDescent="0.3">
      <c r="A38" t="s">
        <v>26</v>
      </c>
      <c r="B38" t="s">
        <v>162</v>
      </c>
      <c r="C38" t="s">
        <v>163</v>
      </c>
      <c r="D38" t="s">
        <v>18</v>
      </c>
      <c r="E38" t="s">
        <v>19</v>
      </c>
      <c r="F38" t="s">
        <v>164</v>
      </c>
      <c r="G38" t="s">
        <v>165</v>
      </c>
      <c r="H38">
        <v>0</v>
      </c>
      <c r="I38">
        <v>250</v>
      </c>
      <c r="J38">
        <v>1508</v>
      </c>
      <c r="K38">
        <v>0</v>
      </c>
      <c r="L38">
        <v>0</v>
      </c>
      <c r="M38">
        <v>250</v>
      </c>
      <c r="N38">
        <v>0</v>
      </c>
      <c r="O38">
        <v>0</v>
      </c>
    </row>
    <row r="39" spans="1:15" x14ac:dyDescent="0.3">
      <c r="A39" t="s">
        <v>26</v>
      </c>
      <c r="B39" t="s">
        <v>166</v>
      </c>
      <c r="C39" t="s">
        <v>167</v>
      </c>
      <c r="D39" t="s">
        <v>18</v>
      </c>
      <c r="E39" t="s">
        <v>19</v>
      </c>
      <c r="F39" t="s">
        <v>168</v>
      </c>
      <c r="G39" t="s">
        <v>169</v>
      </c>
      <c r="H39">
        <v>0</v>
      </c>
      <c r="I39">
        <v>250</v>
      </c>
      <c r="J39">
        <v>0</v>
      </c>
      <c r="K39">
        <v>0</v>
      </c>
      <c r="L39">
        <v>0</v>
      </c>
      <c r="M39">
        <v>250</v>
      </c>
      <c r="N39">
        <v>0</v>
      </c>
      <c r="O39">
        <v>0</v>
      </c>
    </row>
    <row r="40" spans="1:15" x14ac:dyDescent="0.3">
      <c r="A40" t="s">
        <v>26</v>
      </c>
      <c r="B40" t="s">
        <v>170</v>
      </c>
      <c r="C40" t="s">
        <v>171</v>
      </c>
      <c r="D40" t="s">
        <v>18</v>
      </c>
      <c r="E40" t="s">
        <v>19</v>
      </c>
      <c r="F40" t="s">
        <v>172</v>
      </c>
      <c r="G40">
        <f>254722814750 / 722814599</f>
        <v>352.40408135420074</v>
      </c>
      <c r="H40">
        <v>0</v>
      </c>
      <c r="I40">
        <v>250</v>
      </c>
      <c r="J40">
        <v>0</v>
      </c>
      <c r="K40">
        <v>0</v>
      </c>
      <c r="L40">
        <v>0</v>
      </c>
      <c r="M40">
        <v>250</v>
      </c>
      <c r="N40">
        <v>0</v>
      </c>
      <c r="O40">
        <v>0</v>
      </c>
    </row>
    <row r="41" spans="1:15" x14ac:dyDescent="0.3">
      <c r="A41" t="s">
        <v>26</v>
      </c>
      <c r="B41" t="s">
        <v>173</v>
      </c>
      <c r="C41" t="s">
        <v>174</v>
      </c>
      <c r="D41" t="s">
        <v>18</v>
      </c>
      <c r="E41" t="s">
        <v>19</v>
      </c>
      <c r="F41" t="s">
        <v>175</v>
      </c>
      <c r="G41" t="s">
        <v>176</v>
      </c>
      <c r="H41">
        <v>0</v>
      </c>
      <c r="I41">
        <v>250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">
      <c r="A42" t="s">
        <v>26</v>
      </c>
      <c r="B42" t="s">
        <v>177</v>
      </c>
      <c r="C42" t="s">
        <v>178</v>
      </c>
      <c r="D42" t="s">
        <v>18</v>
      </c>
      <c r="E42" t="s">
        <v>19</v>
      </c>
      <c r="F42" t="s">
        <v>179</v>
      </c>
      <c r="G42" t="s">
        <v>180</v>
      </c>
      <c r="H42">
        <v>0</v>
      </c>
      <c r="I42">
        <v>410</v>
      </c>
      <c r="J42">
        <v>521</v>
      </c>
      <c r="K42">
        <v>578</v>
      </c>
      <c r="L42">
        <v>0</v>
      </c>
      <c r="M42">
        <v>410</v>
      </c>
      <c r="N42">
        <v>0</v>
      </c>
      <c r="O42">
        <v>0</v>
      </c>
    </row>
    <row r="43" spans="1:15" x14ac:dyDescent="0.3">
      <c r="A43" t="s">
        <v>26</v>
      </c>
      <c r="B43" t="s">
        <v>181</v>
      </c>
      <c r="C43" t="s">
        <v>182</v>
      </c>
      <c r="D43" t="s">
        <v>18</v>
      </c>
      <c r="E43" t="s">
        <v>19</v>
      </c>
      <c r="F43" t="s">
        <v>183</v>
      </c>
      <c r="G43" t="s">
        <v>184</v>
      </c>
      <c r="H43">
        <v>0</v>
      </c>
      <c r="I43">
        <v>250</v>
      </c>
      <c r="J43">
        <v>7165</v>
      </c>
      <c r="K43">
        <v>0</v>
      </c>
      <c r="L43">
        <v>0</v>
      </c>
      <c r="M43">
        <v>250</v>
      </c>
      <c r="N43">
        <v>0</v>
      </c>
      <c r="O43">
        <v>0</v>
      </c>
    </row>
    <row r="44" spans="1:15" x14ac:dyDescent="0.3">
      <c r="A44" t="s">
        <v>26</v>
      </c>
      <c r="B44" t="s">
        <v>185</v>
      </c>
      <c r="C44" t="s">
        <v>186</v>
      </c>
      <c r="D44" t="s">
        <v>18</v>
      </c>
      <c r="E44" t="s">
        <v>19</v>
      </c>
      <c r="F44" t="s">
        <v>187</v>
      </c>
      <c r="G44">
        <f>254721777697 / 722411482</f>
        <v>352.59929284595728</v>
      </c>
      <c r="H44">
        <v>0</v>
      </c>
      <c r="I44">
        <v>250</v>
      </c>
      <c r="J44">
        <v>0</v>
      </c>
      <c r="K44">
        <v>0</v>
      </c>
      <c r="L44">
        <v>0</v>
      </c>
      <c r="M44">
        <v>250</v>
      </c>
      <c r="N44">
        <v>0</v>
      </c>
      <c r="O44">
        <v>0</v>
      </c>
    </row>
    <row r="45" spans="1:15" x14ac:dyDescent="0.3">
      <c r="A45" t="s">
        <v>26</v>
      </c>
      <c r="B45" t="s">
        <v>188</v>
      </c>
      <c r="C45" t="s">
        <v>189</v>
      </c>
      <c r="D45" t="s">
        <v>18</v>
      </c>
      <c r="E45" t="s">
        <v>19</v>
      </c>
      <c r="F45" t="s">
        <v>190</v>
      </c>
      <c r="G45" t="s">
        <v>191</v>
      </c>
      <c r="H45">
        <v>0</v>
      </c>
      <c r="I45">
        <v>250</v>
      </c>
      <c r="J45">
        <v>630</v>
      </c>
      <c r="K45">
        <v>0</v>
      </c>
      <c r="L45">
        <v>0</v>
      </c>
      <c r="M45">
        <v>250</v>
      </c>
      <c r="N45">
        <v>0</v>
      </c>
      <c r="O45">
        <v>0</v>
      </c>
    </row>
    <row r="46" spans="1:15" x14ac:dyDescent="0.3">
      <c r="A46" t="s">
        <v>26</v>
      </c>
      <c r="B46" t="s">
        <v>192</v>
      </c>
      <c r="C46" t="s">
        <v>193</v>
      </c>
      <c r="D46" t="s">
        <v>18</v>
      </c>
      <c r="E46" t="s">
        <v>19</v>
      </c>
      <c r="F46" t="s">
        <v>194</v>
      </c>
      <c r="G46" t="s">
        <v>195</v>
      </c>
      <c r="H46">
        <v>0</v>
      </c>
      <c r="I46">
        <v>250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">
      <c r="A47" t="s">
        <v>26</v>
      </c>
      <c r="B47" t="s">
        <v>196</v>
      </c>
      <c r="C47" t="s">
        <v>197</v>
      </c>
      <c r="D47" t="s">
        <v>18</v>
      </c>
      <c r="E47" t="s">
        <v>19</v>
      </c>
      <c r="F47" t="s">
        <v>198</v>
      </c>
      <c r="G47" t="s">
        <v>199</v>
      </c>
      <c r="H47">
        <v>0</v>
      </c>
      <c r="I47">
        <v>250</v>
      </c>
      <c r="J47">
        <v>0</v>
      </c>
      <c r="K47">
        <v>0</v>
      </c>
      <c r="L47">
        <v>0</v>
      </c>
      <c r="M47">
        <v>250</v>
      </c>
      <c r="N47">
        <v>0</v>
      </c>
      <c r="O47">
        <v>0</v>
      </c>
    </row>
    <row r="48" spans="1:15" x14ac:dyDescent="0.3">
      <c r="A48" t="s">
        <v>26</v>
      </c>
      <c r="B48" t="s">
        <v>200</v>
      </c>
      <c r="C48" t="s">
        <v>201</v>
      </c>
      <c r="D48" t="s">
        <v>18</v>
      </c>
      <c r="E48" t="s">
        <v>19</v>
      </c>
      <c r="F48" t="s">
        <v>202</v>
      </c>
      <c r="G48" t="s">
        <v>203</v>
      </c>
      <c r="H48">
        <v>0</v>
      </c>
      <c r="I48">
        <v>250</v>
      </c>
      <c r="J48">
        <v>0</v>
      </c>
      <c r="K48">
        <v>0</v>
      </c>
      <c r="L48">
        <v>0</v>
      </c>
      <c r="M48">
        <v>250</v>
      </c>
      <c r="N48">
        <v>0</v>
      </c>
      <c r="O48">
        <v>0</v>
      </c>
    </row>
    <row r="49" spans="1:15" x14ac:dyDescent="0.3">
      <c r="A49" t="s">
        <v>26</v>
      </c>
      <c r="B49" t="s">
        <v>204</v>
      </c>
      <c r="C49" t="s">
        <v>205</v>
      </c>
      <c r="D49" t="s">
        <v>18</v>
      </c>
      <c r="E49" t="s">
        <v>19</v>
      </c>
      <c r="F49" t="s">
        <v>206</v>
      </c>
      <c r="G49" t="s">
        <v>207</v>
      </c>
      <c r="H49">
        <v>0</v>
      </c>
      <c r="I49">
        <v>250</v>
      </c>
      <c r="J49">
        <v>0</v>
      </c>
      <c r="K49">
        <v>0</v>
      </c>
      <c r="L49">
        <v>0</v>
      </c>
      <c r="M49">
        <v>250</v>
      </c>
      <c r="N49">
        <v>0</v>
      </c>
      <c r="O49">
        <v>0</v>
      </c>
    </row>
    <row r="50" spans="1:15" x14ac:dyDescent="0.3">
      <c r="A50" t="s">
        <v>26</v>
      </c>
      <c r="B50" t="s">
        <v>208</v>
      </c>
      <c r="C50" t="s">
        <v>209</v>
      </c>
      <c r="D50" t="s">
        <v>18</v>
      </c>
      <c r="E50" t="s">
        <v>19</v>
      </c>
      <c r="F50" t="s">
        <v>210</v>
      </c>
      <c r="G50" t="s">
        <v>211</v>
      </c>
      <c r="H50">
        <v>0</v>
      </c>
      <c r="I50">
        <v>250</v>
      </c>
      <c r="J50">
        <v>0</v>
      </c>
      <c r="K50">
        <v>0</v>
      </c>
      <c r="L50">
        <v>0</v>
      </c>
      <c r="M50">
        <v>250</v>
      </c>
      <c r="N50">
        <v>0</v>
      </c>
      <c r="O50">
        <v>0</v>
      </c>
    </row>
    <row r="51" spans="1:15" x14ac:dyDescent="0.3">
      <c r="A51" t="s">
        <v>26</v>
      </c>
      <c r="B51" t="s">
        <v>212</v>
      </c>
      <c r="C51" t="s">
        <v>213</v>
      </c>
      <c r="D51" t="s">
        <v>18</v>
      </c>
      <c r="E51" t="s">
        <v>19</v>
      </c>
      <c r="F51" t="s">
        <v>214</v>
      </c>
      <c r="G51" t="s">
        <v>215</v>
      </c>
      <c r="H51">
        <v>0</v>
      </c>
      <c r="I51">
        <v>250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">
      <c r="A52" t="s">
        <v>26</v>
      </c>
      <c r="B52" t="s">
        <v>216</v>
      </c>
      <c r="C52" t="s">
        <v>217</v>
      </c>
      <c r="D52" t="s">
        <v>18</v>
      </c>
      <c r="E52" t="s">
        <v>19</v>
      </c>
      <c r="F52" t="s">
        <v>218</v>
      </c>
      <c r="G52" t="s">
        <v>219</v>
      </c>
      <c r="H52">
        <v>0</v>
      </c>
      <c r="I52">
        <v>250</v>
      </c>
      <c r="J52">
        <v>0</v>
      </c>
      <c r="K52">
        <v>0</v>
      </c>
      <c r="L52">
        <v>0</v>
      </c>
      <c r="M52">
        <v>250</v>
      </c>
      <c r="N52">
        <v>0</v>
      </c>
      <c r="O52">
        <v>0</v>
      </c>
    </row>
    <row r="53" spans="1:15" x14ac:dyDescent="0.3">
      <c r="A53" t="s">
        <v>26</v>
      </c>
      <c r="B53" t="s">
        <v>220</v>
      </c>
      <c r="C53" t="s">
        <v>221</v>
      </c>
      <c r="D53" t="s">
        <v>18</v>
      </c>
      <c r="E53" t="s">
        <v>19</v>
      </c>
      <c r="F53" t="s">
        <v>222</v>
      </c>
      <c r="G53" t="s">
        <v>223</v>
      </c>
      <c r="H53">
        <v>0</v>
      </c>
      <c r="I53">
        <v>250</v>
      </c>
      <c r="J53">
        <v>0</v>
      </c>
      <c r="K53">
        <v>0</v>
      </c>
      <c r="L53">
        <v>0</v>
      </c>
      <c r="M53">
        <v>250</v>
      </c>
      <c r="N53">
        <v>0</v>
      </c>
      <c r="O53">
        <v>0</v>
      </c>
    </row>
    <row r="54" spans="1:15" x14ac:dyDescent="0.3">
      <c r="A54" t="s">
        <v>26</v>
      </c>
      <c r="B54" t="s">
        <v>224</v>
      </c>
      <c r="C54" t="s">
        <v>225</v>
      </c>
      <c r="D54" t="s">
        <v>18</v>
      </c>
      <c r="E54" t="s">
        <v>19</v>
      </c>
      <c r="F54" t="s">
        <v>226</v>
      </c>
      <c r="G54" t="s">
        <v>227</v>
      </c>
      <c r="H54">
        <v>0</v>
      </c>
      <c r="I54">
        <v>250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">
      <c r="A55" t="s">
        <v>26</v>
      </c>
      <c r="B55" t="s">
        <v>228</v>
      </c>
      <c r="C55" t="s">
        <v>229</v>
      </c>
      <c r="D55" t="s">
        <v>18</v>
      </c>
      <c r="E55" t="s">
        <v>19</v>
      </c>
      <c r="F55" t="s">
        <v>230</v>
      </c>
      <c r="G55" t="s">
        <v>231</v>
      </c>
      <c r="H55">
        <v>0</v>
      </c>
      <c r="I55">
        <v>250</v>
      </c>
      <c r="J55">
        <v>0</v>
      </c>
      <c r="K55">
        <v>0</v>
      </c>
      <c r="L55">
        <v>0</v>
      </c>
      <c r="M55">
        <v>250</v>
      </c>
      <c r="N55">
        <v>0</v>
      </c>
      <c r="O55">
        <v>0</v>
      </c>
    </row>
    <row r="56" spans="1:15" x14ac:dyDescent="0.3">
      <c r="A56" t="s">
        <v>26</v>
      </c>
      <c r="B56" t="s">
        <v>232</v>
      </c>
      <c r="C56" t="s">
        <v>233</v>
      </c>
      <c r="D56" t="s">
        <v>18</v>
      </c>
      <c r="E56" t="s">
        <v>19</v>
      </c>
      <c r="F56" t="s">
        <v>234</v>
      </c>
      <c r="G56" t="s">
        <v>235</v>
      </c>
      <c r="H56">
        <v>0</v>
      </c>
      <c r="I56">
        <v>250</v>
      </c>
      <c r="J56">
        <v>0</v>
      </c>
      <c r="K56">
        <v>0</v>
      </c>
      <c r="L56">
        <v>0</v>
      </c>
      <c r="M56">
        <v>250</v>
      </c>
      <c r="N56">
        <v>0</v>
      </c>
      <c r="O56">
        <v>0</v>
      </c>
    </row>
    <row r="57" spans="1:15" x14ac:dyDescent="0.3">
      <c r="A57" t="s">
        <v>26</v>
      </c>
      <c r="B57" t="s">
        <v>236</v>
      </c>
      <c r="C57" t="s">
        <v>237</v>
      </c>
      <c r="D57" t="s">
        <v>18</v>
      </c>
      <c r="E57" t="s">
        <v>19</v>
      </c>
      <c r="F57" t="s">
        <v>238</v>
      </c>
      <c r="G57" t="s">
        <v>239</v>
      </c>
      <c r="H57">
        <v>0</v>
      </c>
      <c r="I57">
        <v>250</v>
      </c>
      <c r="J57">
        <v>0</v>
      </c>
      <c r="K57">
        <v>0</v>
      </c>
      <c r="L57">
        <v>0</v>
      </c>
      <c r="M57">
        <v>250</v>
      </c>
      <c r="N57">
        <v>0</v>
      </c>
      <c r="O57">
        <v>0</v>
      </c>
    </row>
    <row r="58" spans="1:15" x14ac:dyDescent="0.3">
      <c r="A58" t="s">
        <v>26</v>
      </c>
      <c r="B58" t="s">
        <v>240</v>
      </c>
      <c r="C58" t="s">
        <v>241</v>
      </c>
      <c r="D58" t="s">
        <v>18</v>
      </c>
      <c r="E58" t="s">
        <v>19</v>
      </c>
      <c r="F58" t="s">
        <v>242</v>
      </c>
      <c r="G58" t="s">
        <v>243</v>
      </c>
      <c r="H58">
        <v>1816</v>
      </c>
      <c r="I58">
        <v>1238</v>
      </c>
      <c r="J58">
        <v>3490</v>
      </c>
      <c r="K58">
        <v>809</v>
      </c>
      <c r="L58">
        <v>0</v>
      </c>
      <c r="M58">
        <v>1238</v>
      </c>
      <c r="N58">
        <v>190</v>
      </c>
      <c r="O58">
        <v>0</v>
      </c>
    </row>
    <row r="59" spans="1:15" x14ac:dyDescent="0.3">
      <c r="A59" t="s">
        <v>26</v>
      </c>
      <c r="B59" t="s">
        <v>244</v>
      </c>
      <c r="C59" t="s">
        <v>245</v>
      </c>
      <c r="D59" t="s">
        <v>18</v>
      </c>
      <c r="E59" t="s">
        <v>19</v>
      </c>
      <c r="F59" t="s">
        <v>246</v>
      </c>
      <c r="G59" t="s">
        <v>247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">
      <c r="A60" t="s">
        <v>26</v>
      </c>
      <c r="B60" t="s">
        <v>248</v>
      </c>
      <c r="C60" t="s">
        <v>249</v>
      </c>
      <c r="D60" t="s">
        <v>18</v>
      </c>
      <c r="E60" t="s">
        <v>19</v>
      </c>
      <c r="F60" t="s">
        <v>250</v>
      </c>
      <c r="G60" t="s">
        <v>251</v>
      </c>
      <c r="H60">
        <v>0</v>
      </c>
      <c r="I60">
        <v>250</v>
      </c>
      <c r="J60">
        <v>0</v>
      </c>
      <c r="K60">
        <v>0</v>
      </c>
      <c r="L60">
        <v>0</v>
      </c>
      <c r="M60">
        <v>250</v>
      </c>
      <c r="N60">
        <v>0</v>
      </c>
      <c r="O60">
        <v>0</v>
      </c>
    </row>
    <row r="61" spans="1:15" x14ac:dyDescent="0.3">
      <c r="A61" t="s">
        <v>26</v>
      </c>
      <c r="B61" t="s">
        <v>252</v>
      </c>
      <c r="C61" t="s">
        <v>253</v>
      </c>
      <c r="D61" t="s">
        <v>18</v>
      </c>
      <c r="E61" t="s">
        <v>19</v>
      </c>
      <c r="F61" t="s">
        <v>254</v>
      </c>
      <c r="G61">
        <f>254780029837 / 254722882321</f>
        <v>1.0002243517169689</v>
      </c>
      <c r="H61">
        <v>0</v>
      </c>
      <c r="I61">
        <v>250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">
      <c r="A62" t="s">
        <v>26</v>
      </c>
      <c r="B62" t="s">
        <v>255</v>
      </c>
      <c r="C62" t="s">
        <v>256</v>
      </c>
      <c r="D62" t="s">
        <v>18</v>
      </c>
      <c r="E62" t="s">
        <v>19</v>
      </c>
      <c r="F62" t="s">
        <v>257</v>
      </c>
      <c r="G62" t="s">
        <v>258</v>
      </c>
      <c r="H62">
        <v>0</v>
      </c>
      <c r="I62">
        <v>2581</v>
      </c>
      <c r="J62">
        <v>3188</v>
      </c>
      <c r="K62">
        <v>0</v>
      </c>
      <c r="L62">
        <v>0</v>
      </c>
      <c r="M62">
        <v>1455</v>
      </c>
      <c r="N62">
        <v>0</v>
      </c>
      <c r="O62">
        <v>0</v>
      </c>
    </row>
    <row r="63" spans="1:15" x14ac:dyDescent="0.3">
      <c r="A63" t="s">
        <v>26</v>
      </c>
      <c r="B63" t="s">
        <v>259</v>
      </c>
      <c r="C63" t="s">
        <v>260</v>
      </c>
      <c r="D63" t="s">
        <v>18</v>
      </c>
      <c r="E63" t="s">
        <v>19</v>
      </c>
      <c r="F63" t="s">
        <v>261</v>
      </c>
      <c r="G63" t="s">
        <v>262</v>
      </c>
      <c r="H63">
        <v>0</v>
      </c>
      <c r="I63">
        <v>250</v>
      </c>
      <c r="J63">
        <v>0</v>
      </c>
      <c r="K63">
        <v>0</v>
      </c>
      <c r="L63">
        <v>0</v>
      </c>
      <c r="M63">
        <v>250</v>
      </c>
      <c r="N63">
        <v>0</v>
      </c>
      <c r="O63">
        <v>0</v>
      </c>
    </row>
    <row r="64" spans="1:15" x14ac:dyDescent="0.3">
      <c r="A64" t="s">
        <v>26</v>
      </c>
      <c r="B64" t="s">
        <v>263</v>
      </c>
      <c r="C64" t="s">
        <v>264</v>
      </c>
      <c r="D64" t="s">
        <v>18</v>
      </c>
      <c r="E64" t="s">
        <v>19</v>
      </c>
      <c r="F64" t="s">
        <v>265</v>
      </c>
      <c r="G64" t="s">
        <v>266</v>
      </c>
      <c r="H64">
        <v>0</v>
      </c>
      <c r="I64">
        <v>250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">
      <c r="A65" t="s">
        <v>26</v>
      </c>
      <c r="B65" t="s">
        <v>267</v>
      </c>
      <c r="C65" t="s">
        <v>268</v>
      </c>
      <c r="D65" t="s">
        <v>18</v>
      </c>
      <c r="E65" t="s">
        <v>19</v>
      </c>
      <c r="F65" t="s">
        <v>269</v>
      </c>
      <c r="G65" t="s">
        <v>270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">
      <c r="A66" t="s">
        <v>26</v>
      </c>
      <c r="B66" t="s">
        <v>271</v>
      </c>
      <c r="C66" t="s">
        <v>272</v>
      </c>
      <c r="D66" t="s">
        <v>18</v>
      </c>
      <c r="E66" t="s">
        <v>19</v>
      </c>
      <c r="F66" t="s">
        <v>273</v>
      </c>
      <c r="G66" t="s">
        <v>274</v>
      </c>
      <c r="H66">
        <v>0</v>
      </c>
      <c r="I66">
        <v>445</v>
      </c>
      <c r="J66">
        <v>0</v>
      </c>
      <c r="K66">
        <v>0</v>
      </c>
      <c r="L66">
        <v>0</v>
      </c>
      <c r="M66">
        <v>445</v>
      </c>
      <c r="N66">
        <v>0</v>
      </c>
      <c r="O66">
        <v>0</v>
      </c>
    </row>
    <row r="67" spans="1:15" x14ac:dyDescent="0.3">
      <c r="A67" t="s">
        <v>26</v>
      </c>
      <c r="B67" t="s">
        <v>275</v>
      </c>
      <c r="C67" t="s">
        <v>276</v>
      </c>
      <c r="D67" t="s">
        <v>18</v>
      </c>
      <c r="E67" t="s">
        <v>19</v>
      </c>
      <c r="F67" t="s">
        <v>277</v>
      </c>
      <c r="G67" t="s">
        <v>278</v>
      </c>
      <c r="H67">
        <v>0</v>
      </c>
      <c r="I67">
        <v>369</v>
      </c>
      <c r="J67">
        <v>981</v>
      </c>
      <c r="K67">
        <v>132</v>
      </c>
      <c r="L67">
        <v>0</v>
      </c>
      <c r="M67">
        <v>369</v>
      </c>
      <c r="N67">
        <v>0</v>
      </c>
      <c r="O67">
        <v>0</v>
      </c>
    </row>
    <row r="68" spans="1:15" x14ac:dyDescent="0.3">
      <c r="A68" t="s">
        <v>26</v>
      </c>
      <c r="B68" t="s">
        <v>279</v>
      </c>
      <c r="C68" t="s">
        <v>280</v>
      </c>
      <c r="D68" t="s">
        <v>18</v>
      </c>
      <c r="E68" t="s">
        <v>19</v>
      </c>
      <c r="F68" t="s">
        <v>281</v>
      </c>
      <c r="G68" t="s">
        <v>282</v>
      </c>
      <c r="H68">
        <v>0</v>
      </c>
      <c r="I68">
        <v>250</v>
      </c>
      <c r="J68">
        <v>0</v>
      </c>
      <c r="K68">
        <v>0</v>
      </c>
      <c r="L68">
        <v>0</v>
      </c>
      <c r="M68">
        <v>250</v>
      </c>
      <c r="N68">
        <v>0</v>
      </c>
      <c r="O68">
        <v>0</v>
      </c>
    </row>
    <row r="69" spans="1:15" x14ac:dyDescent="0.3">
      <c r="A69" t="s">
        <v>26</v>
      </c>
      <c r="B69" t="s">
        <v>283</v>
      </c>
      <c r="C69" t="s">
        <v>284</v>
      </c>
      <c r="D69" t="s">
        <v>18</v>
      </c>
      <c r="E69" t="s">
        <v>19</v>
      </c>
      <c r="F69" t="s">
        <v>285</v>
      </c>
      <c r="G69" t="s">
        <v>286</v>
      </c>
      <c r="H69">
        <v>1646</v>
      </c>
      <c r="I69">
        <v>12120</v>
      </c>
      <c r="J69">
        <v>30061</v>
      </c>
      <c r="K69">
        <v>27</v>
      </c>
      <c r="L69">
        <v>0</v>
      </c>
      <c r="M69">
        <v>6209</v>
      </c>
      <c r="N69">
        <v>0</v>
      </c>
      <c r="O69">
        <v>0</v>
      </c>
    </row>
    <row r="70" spans="1:15" x14ac:dyDescent="0.3">
      <c r="A70" t="s">
        <v>26</v>
      </c>
      <c r="B70" t="s">
        <v>287</v>
      </c>
      <c r="C70" t="s">
        <v>288</v>
      </c>
      <c r="D70" t="s">
        <v>18</v>
      </c>
      <c r="E70" t="s">
        <v>19</v>
      </c>
      <c r="F70" t="s">
        <v>289</v>
      </c>
      <c r="G70" t="s">
        <v>290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">
      <c r="A71" t="s">
        <v>26</v>
      </c>
      <c r="B71" t="s">
        <v>291</v>
      </c>
      <c r="C71" t="s">
        <v>292</v>
      </c>
      <c r="D71" t="s">
        <v>18</v>
      </c>
      <c r="E71" t="s">
        <v>19</v>
      </c>
      <c r="F71" t="s">
        <v>293</v>
      </c>
      <c r="G71" t="s">
        <v>294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">
      <c r="A72" t="s">
        <v>26</v>
      </c>
      <c r="B72" t="s">
        <v>295</v>
      </c>
      <c r="C72" t="s">
        <v>296</v>
      </c>
      <c r="D72" t="s">
        <v>18</v>
      </c>
      <c r="E72" t="s">
        <v>19</v>
      </c>
      <c r="F72" t="s">
        <v>297</v>
      </c>
      <c r="G72" t="s">
        <v>298</v>
      </c>
      <c r="H72">
        <v>0</v>
      </c>
      <c r="I72">
        <v>250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">
      <c r="A73" t="s">
        <v>26</v>
      </c>
      <c r="B73" t="s">
        <v>299</v>
      </c>
      <c r="C73" t="s">
        <v>300</v>
      </c>
      <c r="D73" t="s">
        <v>18</v>
      </c>
      <c r="E73" t="s">
        <v>19</v>
      </c>
      <c r="F73" t="s">
        <v>301</v>
      </c>
      <c r="G73" t="s">
        <v>302</v>
      </c>
      <c r="H73">
        <v>0</v>
      </c>
      <c r="I73">
        <v>250</v>
      </c>
      <c r="J73">
        <v>0</v>
      </c>
      <c r="K73">
        <v>0</v>
      </c>
      <c r="L73">
        <v>0</v>
      </c>
      <c r="M73">
        <v>250</v>
      </c>
      <c r="N73">
        <v>0</v>
      </c>
      <c r="O73">
        <v>0</v>
      </c>
    </row>
    <row r="74" spans="1:15" x14ac:dyDescent="0.3">
      <c r="A74" t="s">
        <v>26</v>
      </c>
      <c r="B74" t="s">
        <v>303</v>
      </c>
      <c r="C74" t="s">
        <v>304</v>
      </c>
      <c r="D74" t="s">
        <v>18</v>
      </c>
      <c r="E74" t="s">
        <v>19</v>
      </c>
      <c r="F74" t="s">
        <v>305</v>
      </c>
      <c r="G74" t="s">
        <v>306</v>
      </c>
      <c r="H74">
        <v>0</v>
      </c>
      <c r="I74">
        <v>250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">
      <c r="A75" t="s">
        <v>26</v>
      </c>
      <c r="B75" t="s">
        <v>307</v>
      </c>
      <c r="C75" t="s">
        <v>308</v>
      </c>
      <c r="D75" t="s">
        <v>18</v>
      </c>
      <c r="E75" t="s">
        <v>19</v>
      </c>
      <c r="F75" t="s">
        <v>309</v>
      </c>
      <c r="G75" t="s">
        <v>310</v>
      </c>
      <c r="H75">
        <v>0</v>
      </c>
      <c r="I75">
        <v>250</v>
      </c>
      <c r="J75">
        <v>0</v>
      </c>
      <c r="K75">
        <v>0</v>
      </c>
      <c r="L75">
        <v>0</v>
      </c>
      <c r="M75">
        <v>250</v>
      </c>
      <c r="N75">
        <v>0</v>
      </c>
      <c r="O75">
        <v>0</v>
      </c>
    </row>
    <row r="76" spans="1:15" x14ac:dyDescent="0.3">
      <c r="A76" t="s">
        <v>26</v>
      </c>
      <c r="B76" t="s">
        <v>311</v>
      </c>
      <c r="C76" t="s">
        <v>312</v>
      </c>
      <c r="D76" t="s">
        <v>18</v>
      </c>
      <c r="E76" t="s">
        <v>19</v>
      </c>
      <c r="F76" t="s">
        <v>313</v>
      </c>
      <c r="G76" t="s">
        <v>314</v>
      </c>
      <c r="H76">
        <v>0</v>
      </c>
      <c r="I76">
        <v>250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">
      <c r="A77" t="s">
        <v>26</v>
      </c>
      <c r="B77" t="s">
        <v>315</v>
      </c>
      <c r="C77" t="s">
        <v>316</v>
      </c>
      <c r="D77" t="s">
        <v>18</v>
      </c>
      <c r="E77" t="s">
        <v>19</v>
      </c>
      <c r="F77" t="s">
        <v>317</v>
      </c>
      <c r="G77" t="s">
        <v>318</v>
      </c>
      <c r="H77">
        <v>0</v>
      </c>
      <c r="I77">
        <v>250</v>
      </c>
      <c r="J77">
        <v>0</v>
      </c>
      <c r="K77">
        <v>0</v>
      </c>
      <c r="L77">
        <v>0</v>
      </c>
      <c r="M77">
        <v>250</v>
      </c>
      <c r="N77">
        <v>0</v>
      </c>
      <c r="O77">
        <v>0</v>
      </c>
    </row>
    <row r="78" spans="1:15" x14ac:dyDescent="0.3">
      <c r="A78" t="s">
        <v>26</v>
      </c>
      <c r="B78" t="s">
        <v>319</v>
      </c>
      <c r="C78" t="s">
        <v>320</v>
      </c>
      <c r="D78" t="s">
        <v>18</v>
      </c>
      <c r="E78" t="s">
        <v>19</v>
      </c>
      <c r="F78" t="s">
        <v>321</v>
      </c>
      <c r="G78" t="s">
        <v>322</v>
      </c>
      <c r="H78">
        <v>0</v>
      </c>
      <c r="I78">
        <v>250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">
      <c r="A79" t="s">
        <v>26</v>
      </c>
      <c r="B79" t="s">
        <v>323</v>
      </c>
      <c r="C79" t="s">
        <v>324</v>
      </c>
      <c r="D79" t="s">
        <v>18</v>
      </c>
      <c r="E79" t="s">
        <v>19</v>
      </c>
      <c r="F79" t="s">
        <v>325</v>
      </c>
      <c r="G79" t="s">
        <v>326</v>
      </c>
      <c r="H79">
        <v>0</v>
      </c>
      <c r="I79">
        <v>250</v>
      </c>
      <c r="J79">
        <v>25182</v>
      </c>
      <c r="K79">
        <v>0</v>
      </c>
      <c r="L79">
        <v>0</v>
      </c>
      <c r="M79">
        <v>250</v>
      </c>
      <c r="N79">
        <v>0</v>
      </c>
      <c r="O79">
        <v>0</v>
      </c>
    </row>
    <row r="80" spans="1:15" x14ac:dyDescent="0.3">
      <c r="A80" t="s">
        <v>26</v>
      </c>
      <c r="B80" t="s">
        <v>327</v>
      </c>
      <c r="C80" t="s">
        <v>328</v>
      </c>
      <c r="D80" t="s">
        <v>18</v>
      </c>
      <c r="E80" t="s">
        <v>19</v>
      </c>
      <c r="F80" t="s">
        <v>329</v>
      </c>
      <c r="G80" t="s">
        <v>330</v>
      </c>
      <c r="H80">
        <v>0</v>
      </c>
      <c r="I80">
        <v>250</v>
      </c>
      <c r="J80">
        <v>0</v>
      </c>
      <c r="K80">
        <v>0</v>
      </c>
      <c r="L80">
        <v>0</v>
      </c>
      <c r="M80">
        <v>250</v>
      </c>
      <c r="N80">
        <v>0</v>
      </c>
      <c r="O80">
        <v>0</v>
      </c>
    </row>
    <row r="81" spans="1:15" x14ac:dyDescent="0.3">
      <c r="A81" t="s">
        <v>26</v>
      </c>
      <c r="B81" t="s">
        <v>331</v>
      </c>
      <c r="C81" t="s">
        <v>332</v>
      </c>
      <c r="D81" t="s">
        <v>18</v>
      </c>
      <c r="E81" t="s">
        <v>19</v>
      </c>
      <c r="F81" t="s">
        <v>333</v>
      </c>
      <c r="G81">
        <f>254724114357 / 254724114357</f>
        <v>1</v>
      </c>
      <c r="H81">
        <v>0</v>
      </c>
      <c r="I81">
        <v>250</v>
      </c>
      <c r="J81">
        <v>3098</v>
      </c>
      <c r="K81">
        <v>0</v>
      </c>
      <c r="L81">
        <v>0</v>
      </c>
      <c r="M81">
        <v>250</v>
      </c>
      <c r="N81">
        <v>0</v>
      </c>
      <c r="O81">
        <v>0</v>
      </c>
    </row>
    <row r="82" spans="1:15" x14ac:dyDescent="0.3">
      <c r="A82" t="s">
        <v>26</v>
      </c>
      <c r="B82" t="s">
        <v>334</v>
      </c>
      <c r="C82" t="s">
        <v>335</v>
      </c>
      <c r="D82" t="s">
        <v>18</v>
      </c>
      <c r="E82" t="s">
        <v>19</v>
      </c>
      <c r="F82" t="s">
        <v>336</v>
      </c>
      <c r="G82" t="s">
        <v>337</v>
      </c>
      <c r="H82">
        <v>0</v>
      </c>
      <c r="I82">
        <v>250</v>
      </c>
      <c r="J82">
        <v>0</v>
      </c>
      <c r="K82">
        <v>0</v>
      </c>
      <c r="L82">
        <v>0</v>
      </c>
      <c r="M82">
        <v>250</v>
      </c>
      <c r="N82">
        <v>0</v>
      </c>
      <c r="O82">
        <v>0</v>
      </c>
    </row>
    <row r="83" spans="1:15" x14ac:dyDescent="0.3">
      <c r="A83" t="s">
        <v>26</v>
      </c>
      <c r="B83" t="s">
        <v>338</v>
      </c>
      <c r="C83" t="s">
        <v>339</v>
      </c>
      <c r="D83" t="s">
        <v>18</v>
      </c>
      <c r="E83" t="s">
        <v>19</v>
      </c>
      <c r="F83" t="s">
        <v>340</v>
      </c>
      <c r="G83" t="s">
        <v>341</v>
      </c>
      <c r="H83">
        <v>0</v>
      </c>
      <c r="I83">
        <v>250</v>
      </c>
      <c r="J83">
        <v>0</v>
      </c>
      <c r="K83">
        <v>0</v>
      </c>
      <c r="L83">
        <v>0</v>
      </c>
      <c r="M83">
        <v>250</v>
      </c>
      <c r="N83">
        <v>0</v>
      </c>
      <c r="O83">
        <v>0</v>
      </c>
    </row>
    <row r="84" spans="1:15" x14ac:dyDescent="0.3">
      <c r="A84" t="s">
        <v>26</v>
      </c>
      <c r="B84" t="s">
        <v>342</v>
      </c>
      <c r="C84" t="s">
        <v>343</v>
      </c>
      <c r="D84" t="s">
        <v>18</v>
      </c>
      <c r="E84" t="s">
        <v>19</v>
      </c>
      <c r="F84" t="s">
        <v>344</v>
      </c>
      <c r="G84" t="s">
        <v>345</v>
      </c>
      <c r="H84">
        <v>0</v>
      </c>
      <c r="I84">
        <v>2060</v>
      </c>
      <c r="J84">
        <v>4601</v>
      </c>
      <c r="K84">
        <v>1823</v>
      </c>
      <c r="L84">
        <v>0</v>
      </c>
      <c r="M84">
        <v>2060</v>
      </c>
      <c r="N84">
        <v>664</v>
      </c>
      <c r="O84">
        <v>0</v>
      </c>
    </row>
    <row r="85" spans="1:15" x14ac:dyDescent="0.3">
      <c r="A85" t="s">
        <v>26</v>
      </c>
      <c r="B85" t="s">
        <v>346</v>
      </c>
      <c r="C85" t="s">
        <v>347</v>
      </c>
      <c r="D85" t="s">
        <v>18</v>
      </c>
      <c r="E85" t="s">
        <v>19</v>
      </c>
      <c r="F85" t="s">
        <v>348</v>
      </c>
      <c r="G85" t="s">
        <v>349</v>
      </c>
      <c r="H85">
        <v>0</v>
      </c>
      <c r="I85">
        <v>250</v>
      </c>
      <c r="J85">
        <v>0</v>
      </c>
      <c r="K85">
        <v>0</v>
      </c>
      <c r="L85">
        <v>0</v>
      </c>
      <c r="M85">
        <v>250</v>
      </c>
      <c r="N85">
        <v>0</v>
      </c>
      <c r="O85">
        <v>0</v>
      </c>
    </row>
    <row r="86" spans="1:15" x14ac:dyDescent="0.3">
      <c r="A86" t="s">
        <v>26</v>
      </c>
      <c r="B86" t="s">
        <v>350</v>
      </c>
      <c r="C86" t="s">
        <v>351</v>
      </c>
      <c r="D86" t="s">
        <v>18</v>
      </c>
      <c r="E86" t="s">
        <v>19</v>
      </c>
      <c r="F86" t="s">
        <v>352</v>
      </c>
      <c r="G86" t="s">
        <v>353</v>
      </c>
      <c r="H86">
        <v>0</v>
      </c>
      <c r="I86">
        <v>250</v>
      </c>
      <c r="J86">
        <v>163</v>
      </c>
      <c r="K86">
        <v>0</v>
      </c>
      <c r="L86">
        <v>0</v>
      </c>
      <c r="M86">
        <v>250</v>
      </c>
      <c r="N86">
        <v>0</v>
      </c>
      <c r="O86">
        <v>0</v>
      </c>
    </row>
    <row r="87" spans="1:15" x14ac:dyDescent="0.3">
      <c r="A87" t="s">
        <v>26</v>
      </c>
      <c r="B87" t="s">
        <v>354</v>
      </c>
      <c r="C87" t="s">
        <v>355</v>
      </c>
      <c r="D87" t="s">
        <v>18</v>
      </c>
      <c r="E87" t="s">
        <v>19</v>
      </c>
      <c r="F87" t="s">
        <v>356</v>
      </c>
      <c r="G87" t="s">
        <v>357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">
      <c r="A88" t="s">
        <v>26</v>
      </c>
      <c r="B88" t="s">
        <v>358</v>
      </c>
      <c r="C88" t="s">
        <v>355</v>
      </c>
      <c r="D88" t="s">
        <v>18</v>
      </c>
      <c r="E88" t="s">
        <v>19</v>
      </c>
      <c r="F88" t="s">
        <v>359</v>
      </c>
      <c r="G88" t="s">
        <v>360</v>
      </c>
      <c r="H88">
        <v>6037</v>
      </c>
      <c r="I88">
        <v>3629</v>
      </c>
      <c r="J88">
        <v>41570</v>
      </c>
      <c r="K88">
        <v>0</v>
      </c>
      <c r="L88">
        <v>0</v>
      </c>
      <c r="M88">
        <v>3629</v>
      </c>
      <c r="N88">
        <v>0</v>
      </c>
      <c r="O88">
        <v>0</v>
      </c>
    </row>
    <row r="89" spans="1:15" x14ac:dyDescent="0.3">
      <c r="A89" t="s">
        <v>26</v>
      </c>
      <c r="B89" t="s">
        <v>361</v>
      </c>
      <c r="C89" t="s">
        <v>362</v>
      </c>
      <c r="D89" t="s">
        <v>18</v>
      </c>
      <c r="E89" t="s">
        <v>19</v>
      </c>
      <c r="F89" t="s">
        <v>363</v>
      </c>
      <c r="G89" t="s">
        <v>364</v>
      </c>
      <c r="H89">
        <v>0</v>
      </c>
      <c r="I89">
        <v>250</v>
      </c>
      <c r="J89">
        <v>0</v>
      </c>
      <c r="K89">
        <v>0</v>
      </c>
      <c r="L89">
        <v>0</v>
      </c>
      <c r="M89">
        <v>250</v>
      </c>
      <c r="N89">
        <v>0</v>
      </c>
      <c r="O89">
        <v>0</v>
      </c>
    </row>
    <row r="90" spans="1:15" x14ac:dyDescent="0.3">
      <c r="A90" t="s">
        <v>26</v>
      </c>
      <c r="B90" t="s">
        <v>365</v>
      </c>
      <c r="C90" t="s">
        <v>366</v>
      </c>
      <c r="D90" t="s">
        <v>18</v>
      </c>
      <c r="E90" t="s">
        <v>19</v>
      </c>
      <c r="F90" t="s">
        <v>367</v>
      </c>
      <c r="G90" t="s">
        <v>368</v>
      </c>
      <c r="H90">
        <v>0</v>
      </c>
      <c r="I90">
        <v>250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">
      <c r="A91" t="s">
        <v>26</v>
      </c>
      <c r="B91" t="s">
        <v>369</v>
      </c>
      <c r="C91" t="s">
        <v>370</v>
      </c>
      <c r="D91" t="s">
        <v>18</v>
      </c>
      <c r="E91" t="s">
        <v>19</v>
      </c>
      <c r="F91" t="s">
        <v>371</v>
      </c>
      <c r="G91" t="s">
        <v>372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">
      <c r="A92" t="s">
        <v>26</v>
      </c>
      <c r="B92" t="s">
        <v>373</v>
      </c>
      <c r="C92" t="s">
        <v>374</v>
      </c>
      <c r="D92" t="s">
        <v>18</v>
      </c>
      <c r="E92" t="s">
        <v>19</v>
      </c>
      <c r="F92" t="s">
        <v>375</v>
      </c>
      <c r="G92" t="s">
        <v>376</v>
      </c>
      <c r="H92">
        <v>0</v>
      </c>
      <c r="I92">
        <v>1080</v>
      </c>
      <c r="J92">
        <v>200</v>
      </c>
      <c r="K92">
        <v>0</v>
      </c>
      <c r="L92">
        <v>0</v>
      </c>
      <c r="M92">
        <v>250</v>
      </c>
      <c r="N92">
        <v>0</v>
      </c>
      <c r="O92">
        <v>0</v>
      </c>
    </row>
    <row r="93" spans="1:15" x14ac:dyDescent="0.3">
      <c r="A93" t="s">
        <v>26</v>
      </c>
      <c r="B93" t="s">
        <v>377</v>
      </c>
      <c r="C93" t="s">
        <v>378</v>
      </c>
      <c r="D93" t="s">
        <v>18</v>
      </c>
      <c r="E93" t="s">
        <v>19</v>
      </c>
      <c r="F93" t="s">
        <v>379</v>
      </c>
      <c r="G93" t="s">
        <v>380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">
      <c r="A94" t="s">
        <v>26</v>
      </c>
      <c r="B94" t="s">
        <v>381</v>
      </c>
      <c r="C94" t="s">
        <v>382</v>
      </c>
      <c r="D94" t="s">
        <v>18</v>
      </c>
      <c r="E94" t="s">
        <v>19</v>
      </c>
      <c r="F94" t="s">
        <v>383</v>
      </c>
      <c r="G94" t="s">
        <v>384</v>
      </c>
      <c r="H94">
        <v>0</v>
      </c>
      <c r="I94">
        <v>1196</v>
      </c>
      <c r="J94">
        <v>520</v>
      </c>
      <c r="K94">
        <v>0</v>
      </c>
      <c r="L94">
        <v>0</v>
      </c>
      <c r="M94">
        <v>477</v>
      </c>
      <c r="N94">
        <v>0</v>
      </c>
      <c r="O94">
        <v>0</v>
      </c>
    </row>
    <row r="95" spans="1:15" x14ac:dyDescent="0.3">
      <c r="A95" t="s">
        <v>26</v>
      </c>
      <c r="B95" t="s">
        <v>385</v>
      </c>
      <c r="C95" t="s">
        <v>386</v>
      </c>
      <c r="D95" t="s">
        <v>18</v>
      </c>
      <c r="E95" t="s">
        <v>19</v>
      </c>
      <c r="F95" t="s">
        <v>387</v>
      </c>
      <c r="G95" t="s">
        <v>388</v>
      </c>
      <c r="H95">
        <v>748</v>
      </c>
      <c r="I95">
        <v>250</v>
      </c>
      <c r="J95">
        <v>654</v>
      </c>
      <c r="K95">
        <v>0</v>
      </c>
      <c r="L95">
        <v>0</v>
      </c>
      <c r="M95">
        <v>250</v>
      </c>
      <c r="N95">
        <v>0</v>
      </c>
      <c r="O95">
        <v>0</v>
      </c>
    </row>
    <row r="96" spans="1:15" x14ac:dyDescent="0.3">
      <c r="A96" t="s">
        <v>26</v>
      </c>
      <c r="B96" t="s">
        <v>389</v>
      </c>
      <c r="C96" t="s">
        <v>390</v>
      </c>
      <c r="D96" t="s">
        <v>18</v>
      </c>
      <c r="E96" t="s">
        <v>19</v>
      </c>
      <c r="F96" t="s">
        <v>391</v>
      </c>
      <c r="G96" t="s">
        <v>392</v>
      </c>
      <c r="H96">
        <v>0</v>
      </c>
      <c r="I96">
        <v>250</v>
      </c>
      <c r="J96">
        <v>0</v>
      </c>
      <c r="K96">
        <v>0</v>
      </c>
      <c r="L96">
        <v>0</v>
      </c>
      <c r="M96">
        <v>250</v>
      </c>
      <c r="N96">
        <v>0</v>
      </c>
      <c r="O96">
        <v>0</v>
      </c>
    </row>
    <row r="97" spans="1:15" x14ac:dyDescent="0.3">
      <c r="A97" t="s">
        <v>26</v>
      </c>
      <c r="B97" t="s">
        <v>393</v>
      </c>
      <c r="C97" t="s">
        <v>394</v>
      </c>
      <c r="D97" t="s">
        <v>18</v>
      </c>
      <c r="E97" t="s">
        <v>19</v>
      </c>
      <c r="F97" t="s">
        <v>395</v>
      </c>
      <c r="G97">
        <f>254722664245 / 254718664245</f>
        <v>1.0000157035999377</v>
      </c>
      <c r="H97">
        <v>0</v>
      </c>
      <c r="I97">
        <v>250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">
      <c r="A98" t="s">
        <v>26</v>
      </c>
      <c r="B98" t="s">
        <v>396</v>
      </c>
      <c r="C98" t="s">
        <v>397</v>
      </c>
      <c r="D98" t="s">
        <v>18</v>
      </c>
      <c r="E98" t="s">
        <v>19</v>
      </c>
      <c r="F98" t="s">
        <v>398</v>
      </c>
      <c r="G98" t="s">
        <v>399</v>
      </c>
      <c r="H98">
        <v>0</v>
      </c>
      <c r="I98">
        <v>250</v>
      </c>
      <c r="J98">
        <v>0</v>
      </c>
      <c r="K98">
        <v>0</v>
      </c>
      <c r="L98">
        <v>0</v>
      </c>
      <c r="M98">
        <v>250</v>
      </c>
      <c r="N98">
        <v>0</v>
      </c>
      <c r="O98">
        <v>0</v>
      </c>
    </row>
    <row r="99" spans="1:15" x14ac:dyDescent="0.3">
      <c r="A99" t="s">
        <v>26</v>
      </c>
      <c r="B99" t="s">
        <v>400</v>
      </c>
      <c r="C99" t="s">
        <v>401</v>
      </c>
      <c r="D99" t="s">
        <v>18</v>
      </c>
      <c r="E99" t="s">
        <v>19</v>
      </c>
      <c r="F99" t="s">
        <v>402</v>
      </c>
      <c r="G99" t="s">
        <v>403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">
      <c r="A100" t="s">
        <v>26</v>
      </c>
      <c r="B100" t="s">
        <v>404</v>
      </c>
      <c r="C100" t="s">
        <v>405</v>
      </c>
      <c r="D100" t="s">
        <v>18</v>
      </c>
      <c r="E100" t="s">
        <v>19</v>
      </c>
      <c r="F100" t="s">
        <v>406</v>
      </c>
      <c r="G100" t="s">
        <v>407</v>
      </c>
      <c r="H100">
        <v>0</v>
      </c>
      <c r="I100">
        <v>250</v>
      </c>
      <c r="J100">
        <v>0</v>
      </c>
      <c r="K100">
        <v>0</v>
      </c>
      <c r="L100">
        <v>0</v>
      </c>
      <c r="M100">
        <v>250</v>
      </c>
      <c r="N100">
        <v>0</v>
      </c>
      <c r="O100">
        <v>0</v>
      </c>
    </row>
    <row r="101" spans="1:15" x14ac:dyDescent="0.3">
      <c r="A101" t="s">
        <v>26</v>
      </c>
      <c r="B101" t="s">
        <v>408</v>
      </c>
      <c r="C101" t="s">
        <v>409</v>
      </c>
      <c r="D101" t="s">
        <v>18</v>
      </c>
      <c r="E101" t="s">
        <v>19</v>
      </c>
      <c r="F101" t="s">
        <v>410</v>
      </c>
      <c r="G101" t="s">
        <v>411</v>
      </c>
      <c r="H101">
        <v>395</v>
      </c>
      <c r="I101">
        <v>5677</v>
      </c>
      <c r="J101">
        <v>12351</v>
      </c>
      <c r="K101">
        <v>0</v>
      </c>
      <c r="L101">
        <v>0</v>
      </c>
      <c r="M101">
        <v>4194</v>
      </c>
      <c r="N101">
        <v>0</v>
      </c>
      <c r="O101">
        <v>0</v>
      </c>
    </row>
    <row r="102" spans="1:15" x14ac:dyDescent="0.3">
      <c r="A102" t="s">
        <v>26</v>
      </c>
      <c r="B102" t="s">
        <v>412</v>
      </c>
      <c r="C102" t="s">
        <v>413</v>
      </c>
      <c r="D102" t="s">
        <v>18</v>
      </c>
      <c r="E102" t="s">
        <v>19</v>
      </c>
      <c r="F102" t="s">
        <v>414</v>
      </c>
      <c r="G102" t="s">
        <v>415</v>
      </c>
      <c r="H102">
        <v>0</v>
      </c>
      <c r="I102">
        <v>250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3">
      <c r="A103" t="s">
        <v>26</v>
      </c>
      <c r="B103" t="s">
        <v>416</v>
      </c>
      <c r="C103" t="s">
        <v>417</v>
      </c>
      <c r="D103" t="s">
        <v>18</v>
      </c>
      <c r="E103" t="s">
        <v>19</v>
      </c>
      <c r="F103" t="s">
        <v>418</v>
      </c>
      <c r="G103" t="s">
        <v>419</v>
      </c>
      <c r="H103">
        <v>867</v>
      </c>
      <c r="I103">
        <v>1131</v>
      </c>
      <c r="J103">
        <v>3360</v>
      </c>
      <c r="K103">
        <v>0</v>
      </c>
      <c r="L103">
        <v>0</v>
      </c>
      <c r="M103">
        <v>250</v>
      </c>
      <c r="N103">
        <v>0</v>
      </c>
      <c r="O103">
        <v>0</v>
      </c>
    </row>
    <row r="104" spans="1:15" x14ac:dyDescent="0.3">
      <c r="A104" t="s">
        <v>26</v>
      </c>
      <c r="B104" t="s">
        <v>420</v>
      </c>
      <c r="C104" t="s">
        <v>421</v>
      </c>
      <c r="D104" t="s">
        <v>18</v>
      </c>
      <c r="E104" t="s">
        <v>19</v>
      </c>
      <c r="F104" t="s">
        <v>422</v>
      </c>
      <c r="G104" t="s">
        <v>423</v>
      </c>
      <c r="H104">
        <v>0</v>
      </c>
      <c r="I104">
        <v>250</v>
      </c>
      <c r="J104">
        <v>0</v>
      </c>
      <c r="K104">
        <v>0</v>
      </c>
      <c r="L104">
        <v>0</v>
      </c>
      <c r="M104">
        <v>250</v>
      </c>
      <c r="N104">
        <v>0</v>
      </c>
      <c r="O104">
        <v>0</v>
      </c>
    </row>
    <row r="105" spans="1:15" x14ac:dyDescent="0.3">
      <c r="A105" t="s">
        <v>26</v>
      </c>
      <c r="B105" t="s">
        <v>424</v>
      </c>
      <c r="C105" t="s">
        <v>425</v>
      </c>
      <c r="D105" t="s">
        <v>18</v>
      </c>
      <c r="E105" t="s">
        <v>19</v>
      </c>
      <c r="F105" t="s">
        <v>426</v>
      </c>
      <c r="G105" t="s">
        <v>427</v>
      </c>
      <c r="H105">
        <v>189</v>
      </c>
      <c r="I105">
        <v>925</v>
      </c>
      <c r="J105">
        <v>14746</v>
      </c>
      <c r="K105">
        <v>0</v>
      </c>
      <c r="L105">
        <v>0</v>
      </c>
      <c r="M105">
        <v>925</v>
      </c>
      <c r="N105">
        <v>619</v>
      </c>
      <c r="O105">
        <v>0</v>
      </c>
    </row>
    <row r="106" spans="1:15" x14ac:dyDescent="0.3">
      <c r="A106" t="s">
        <v>26</v>
      </c>
      <c r="B106" t="s">
        <v>428</v>
      </c>
      <c r="C106" t="s">
        <v>429</v>
      </c>
      <c r="D106" t="s">
        <v>18</v>
      </c>
      <c r="E106" t="s">
        <v>19</v>
      </c>
      <c r="F106" t="s">
        <v>430</v>
      </c>
      <c r="G106" t="s">
        <v>431</v>
      </c>
      <c r="H106">
        <v>0</v>
      </c>
      <c r="I106">
        <v>457</v>
      </c>
      <c r="J106">
        <v>5039</v>
      </c>
      <c r="K106">
        <v>0</v>
      </c>
      <c r="L106">
        <v>600</v>
      </c>
      <c r="M106">
        <v>457</v>
      </c>
      <c r="N106">
        <v>0</v>
      </c>
      <c r="O106">
        <v>0</v>
      </c>
    </row>
    <row r="107" spans="1:15" x14ac:dyDescent="0.3">
      <c r="A107" t="s">
        <v>26</v>
      </c>
      <c r="B107" t="s">
        <v>432</v>
      </c>
      <c r="C107" t="s">
        <v>433</v>
      </c>
      <c r="D107" t="s">
        <v>18</v>
      </c>
      <c r="E107" t="s">
        <v>19</v>
      </c>
      <c r="F107" t="s">
        <v>434</v>
      </c>
      <c r="G107" t="s">
        <v>435</v>
      </c>
      <c r="H107">
        <v>2894</v>
      </c>
      <c r="I107">
        <v>7196</v>
      </c>
      <c r="J107">
        <v>32864</v>
      </c>
      <c r="K107">
        <v>0</v>
      </c>
      <c r="L107">
        <v>0</v>
      </c>
      <c r="M107">
        <v>404</v>
      </c>
      <c r="N107">
        <v>0</v>
      </c>
      <c r="O107">
        <v>0</v>
      </c>
    </row>
    <row r="108" spans="1:15" x14ac:dyDescent="0.3">
      <c r="A108" t="s">
        <v>26</v>
      </c>
      <c r="B108" t="s">
        <v>436</v>
      </c>
      <c r="C108" t="s">
        <v>437</v>
      </c>
      <c r="D108" t="s">
        <v>18</v>
      </c>
      <c r="E108" t="s">
        <v>19</v>
      </c>
      <c r="F108" t="s">
        <v>438</v>
      </c>
      <c r="G108">
        <f>254703172213 / 254703172213</f>
        <v>1</v>
      </c>
      <c r="H108">
        <v>0</v>
      </c>
      <c r="I108">
        <v>250</v>
      </c>
      <c r="J108">
        <v>0</v>
      </c>
      <c r="K108">
        <v>0</v>
      </c>
      <c r="L108">
        <v>0</v>
      </c>
      <c r="M108">
        <v>250</v>
      </c>
      <c r="N108">
        <v>0</v>
      </c>
      <c r="O108">
        <v>0</v>
      </c>
    </row>
    <row r="109" spans="1:15" x14ac:dyDescent="0.3">
      <c r="A109" t="s">
        <v>26</v>
      </c>
      <c r="B109" t="s">
        <v>439</v>
      </c>
      <c r="C109" t="s">
        <v>440</v>
      </c>
      <c r="D109" t="s">
        <v>18</v>
      </c>
      <c r="E109" t="s">
        <v>19</v>
      </c>
      <c r="F109" t="s">
        <v>441</v>
      </c>
      <c r="G109" t="s">
        <v>442</v>
      </c>
      <c r="H109">
        <v>0</v>
      </c>
      <c r="I109">
        <v>250</v>
      </c>
      <c r="J109">
        <v>0</v>
      </c>
      <c r="K109">
        <v>0</v>
      </c>
      <c r="L109">
        <v>0</v>
      </c>
      <c r="M109">
        <v>250</v>
      </c>
      <c r="N109">
        <v>0</v>
      </c>
      <c r="O109">
        <v>0</v>
      </c>
    </row>
    <row r="110" spans="1:15" x14ac:dyDescent="0.3">
      <c r="A110" t="s">
        <v>26</v>
      </c>
      <c r="B110" t="s">
        <v>443</v>
      </c>
      <c r="C110" t="s">
        <v>444</v>
      </c>
      <c r="D110" t="s">
        <v>18</v>
      </c>
      <c r="E110" t="s">
        <v>19</v>
      </c>
      <c r="F110" t="s">
        <v>445</v>
      </c>
      <c r="G110" t="s">
        <v>446</v>
      </c>
      <c r="H110">
        <v>1618</v>
      </c>
      <c r="I110">
        <v>1997</v>
      </c>
      <c r="J110">
        <v>7711</v>
      </c>
      <c r="K110">
        <v>673</v>
      </c>
      <c r="L110">
        <v>0</v>
      </c>
      <c r="M110">
        <v>1617</v>
      </c>
      <c r="N110">
        <v>0</v>
      </c>
      <c r="O110">
        <v>0</v>
      </c>
    </row>
    <row r="111" spans="1:15" x14ac:dyDescent="0.3">
      <c r="A111" t="s">
        <v>26</v>
      </c>
      <c r="B111" t="s">
        <v>447</v>
      </c>
      <c r="C111" t="s">
        <v>448</v>
      </c>
      <c r="D111" t="s">
        <v>18</v>
      </c>
      <c r="E111" t="s">
        <v>19</v>
      </c>
      <c r="F111" t="s">
        <v>449</v>
      </c>
      <c r="G111" t="s">
        <v>450</v>
      </c>
      <c r="H111">
        <v>0</v>
      </c>
      <c r="I111">
        <v>250</v>
      </c>
      <c r="J111">
        <v>962</v>
      </c>
      <c r="K111">
        <v>0</v>
      </c>
      <c r="L111">
        <v>0</v>
      </c>
      <c r="M111">
        <v>250</v>
      </c>
      <c r="N111">
        <v>0</v>
      </c>
      <c r="O111">
        <v>0</v>
      </c>
    </row>
    <row r="112" spans="1:15" x14ac:dyDescent="0.3">
      <c r="A112" t="s">
        <v>26</v>
      </c>
      <c r="B112" t="s">
        <v>451</v>
      </c>
      <c r="C112" t="s">
        <v>452</v>
      </c>
      <c r="D112" t="s">
        <v>18</v>
      </c>
      <c r="E112" t="s">
        <v>19</v>
      </c>
      <c r="F112" t="s">
        <v>453</v>
      </c>
      <c r="G112" t="s">
        <v>454</v>
      </c>
      <c r="H112">
        <v>1812</v>
      </c>
      <c r="I112">
        <v>5017</v>
      </c>
      <c r="J112">
        <v>6471</v>
      </c>
      <c r="K112">
        <v>722</v>
      </c>
      <c r="L112">
        <v>0</v>
      </c>
      <c r="M112">
        <v>2965</v>
      </c>
      <c r="N112">
        <v>900</v>
      </c>
      <c r="O112">
        <v>0</v>
      </c>
    </row>
    <row r="113" spans="1:15" x14ac:dyDescent="0.3">
      <c r="A113" t="s">
        <v>26</v>
      </c>
      <c r="B113" t="s">
        <v>455</v>
      </c>
      <c r="C113" t="s">
        <v>448</v>
      </c>
      <c r="D113" t="s">
        <v>18</v>
      </c>
      <c r="E113" t="s">
        <v>19</v>
      </c>
      <c r="F113" t="s">
        <v>456</v>
      </c>
      <c r="G113" t="s">
        <v>457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3">
      <c r="A114" t="s">
        <v>26</v>
      </c>
      <c r="B114" t="s">
        <v>458</v>
      </c>
      <c r="C114" t="s">
        <v>459</v>
      </c>
      <c r="D114" t="s">
        <v>18</v>
      </c>
      <c r="E114" t="s">
        <v>19</v>
      </c>
      <c r="F114" t="s">
        <v>460</v>
      </c>
      <c r="G114" t="s">
        <v>461</v>
      </c>
      <c r="H114">
        <v>0</v>
      </c>
      <c r="I114">
        <v>250</v>
      </c>
      <c r="J114">
        <v>0</v>
      </c>
      <c r="K114">
        <v>0</v>
      </c>
      <c r="L114">
        <v>0</v>
      </c>
      <c r="M114">
        <v>250</v>
      </c>
      <c r="N114">
        <v>0</v>
      </c>
      <c r="O114">
        <v>0</v>
      </c>
    </row>
    <row r="115" spans="1:15" x14ac:dyDescent="0.3">
      <c r="A115" t="s">
        <v>26</v>
      </c>
      <c r="B115" t="s">
        <v>462</v>
      </c>
      <c r="C115" t="s">
        <v>463</v>
      </c>
      <c r="D115" t="s">
        <v>18</v>
      </c>
      <c r="E115" t="s">
        <v>19</v>
      </c>
      <c r="F115" t="s">
        <v>464</v>
      </c>
      <c r="G115" t="s">
        <v>465</v>
      </c>
      <c r="H115">
        <v>0</v>
      </c>
      <c r="I115">
        <v>250</v>
      </c>
      <c r="J115">
        <v>51652</v>
      </c>
      <c r="K115">
        <v>0</v>
      </c>
      <c r="L115">
        <v>0</v>
      </c>
      <c r="M115">
        <v>250</v>
      </c>
      <c r="N115">
        <v>0</v>
      </c>
      <c r="O115">
        <v>0</v>
      </c>
    </row>
    <row r="116" spans="1:15" x14ac:dyDescent="0.3">
      <c r="A116" t="s">
        <v>26</v>
      </c>
      <c r="B116" t="s">
        <v>466</v>
      </c>
      <c r="C116" t="s">
        <v>467</v>
      </c>
      <c r="D116" t="s">
        <v>18</v>
      </c>
      <c r="E116" t="s">
        <v>19</v>
      </c>
      <c r="F116" t="s">
        <v>468</v>
      </c>
      <c r="G116" t="s">
        <v>469</v>
      </c>
      <c r="H116">
        <v>199</v>
      </c>
      <c r="I116">
        <v>1442</v>
      </c>
      <c r="J116">
        <v>81245</v>
      </c>
      <c r="K116">
        <v>0</v>
      </c>
      <c r="L116">
        <v>0</v>
      </c>
      <c r="M116">
        <v>1318</v>
      </c>
      <c r="N116">
        <v>0</v>
      </c>
      <c r="O116">
        <v>0</v>
      </c>
    </row>
    <row r="117" spans="1:15" x14ac:dyDescent="0.3">
      <c r="A117" t="s">
        <v>26</v>
      </c>
      <c r="B117" t="s">
        <v>470</v>
      </c>
      <c r="C117" t="s">
        <v>471</v>
      </c>
      <c r="D117" t="s">
        <v>18</v>
      </c>
      <c r="E117" t="s">
        <v>19</v>
      </c>
      <c r="F117" t="s">
        <v>472</v>
      </c>
      <c r="G117" t="s">
        <v>473</v>
      </c>
      <c r="H117">
        <v>0</v>
      </c>
      <c r="I117">
        <v>250</v>
      </c>
      <c r="J117">
        <v>0</v>
      </c>
      <c r="K117">
        <v>0</v>
      </c>
      <c r="L117">
        <v>0</v>
      </c>
      <c r="M117">
        <v>250</v>
      </c>
      <c r="N117">
        <v>0</v>
      </c>
      <c r="O117">
        <v>0</v>
      </c>
    </row>
    <row r="118" spans="1:15" x14ac:dyDescent="0.3">
      <c r="A118" t="s">
        <v>26</v>
      </c>
      <c r="B118" t="s">
        <v>474</v>
      </c>
      <c r="C118" t="s">
        <v>475</v>
      </c>
      <c r="D118" t="s">
        <v>18</v>
      </c>
      <c r="E118" t="s">
        <v>19</v>
      </c>
      <c r="F118" t="s">
        <v>476</v>
      </c>
      <c r="G118" t="s">
        <v>477</v>
      </c>
      <c r="H118">
        <v>0</v>
      </c>
      <c r="I118">
        <v>1629</v>
      </c>
      <c r="J118">
        <v>0</v>
      </c>
      <c r="K118">
        <v>0</v>
      </c>
      <c r="L118">
        <v>0</v>
      </c>
      <c r="M118">
        <v>1057</v>
      </c>
      <c r="N118">
        <v>0</v>
      </c>
      <c r="O118">
        <v>0</v>
      </c>
    </row>
    <row r="119" spans="1:15" x14ac:dyDescent="0.3">
      <c r="A119" t="s">
        <v>26</v>
      </c>
      <c r="B119" t="s">
        <v>478</v>
      </c>
      <c r="C119" t="s">
        <v>479</v>
      </c>
      <c r="D119" t="s">
        <v>18</v>
      </c>
      <c r="E119" t="s">
        <v>19</v>
      </c>
      <c r="F119" t="s">
        <v>480</v>
      </c>
      <c r="G119" t="s">
        <v>481</v>
      </c>
      <c r="H119">
        <v>0</v>
      </c>
      <c r="I119">
        <v>250</v>
      </c>
      <c r="J119">
        <v>0</v>
      </c>
      <c r="K119">
        <v>0</v>
      </c>
      <c r="L119">
        <v>0</v>
      </c>
      <c r="M119">
        <v>250</v>
      </c>
      <c r="N119">
        <v>0</v>
      </c>
      <c r="O119">
        <v>0</v>
      </c>
    </row>
    <row r="120" spans="1:15" x14ac:dyDescent="0.3">
      <c r="A120" t="s">
        <v>26</v>
      </c>
      <c r="B120" t="s">
        <v>482</v>
      </c>
      <c r="C120" t="s">
        <v>483</v>
      </c>
      <c r="D120" t="s">
        <v>18</v>
      </c>
      <c r="E120" t="s">
        <v>19</v>
      </c>
      <c r="F120" t="s">
        <v>484</v>
      </c>
      <c r="G120" t="s">
        <v>485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">
      <c r="A121" t="s">
        <v>26</v>
      </c>
      <c r="B121" t="s">
        <v>486</v>
      </c>
      <c r="C121" t="s">
        <v>487</v>
      </c>
      <c r="D121" t="s">
        <v>18</v>
      </c>
      <c r="E121" t="s">
        <v>19</v>
      </c>
      <c r="F121" t="s">
        <v>488</v>
      </c>
      <c r="G121" t="s">
        <v>489</v>
      </c>
      <c r="H121">
        <v>0</v>
      </c>
      <c r="I121">
        <v>250</v>
      </c>
      <c r="J121">
        <v>331</v>
      </c>
      <c r="K121">
        <v>0</v>
      </c>
      <c r="L121">
        <v>0</v>
      </c>
      <c r="M121">
        <v>250</v>
      </c>
      <c r="N121">
        <v>0</v>
      </c>
      <c r="O121">
        <v>0</v>
      </c>
    </row>
    <row r="122" spans="1:15" x14ac:dyDescent="0.3">
      <c r="A122" t="s">
        <v>26</v>
      </c>
      <c r="B122" t="s">
        <v>490</v>
      </c>
      <c r="C122" t="s">
        <v>491</v>
      </c>
      <c r="D122" t="s">
        <v>18</v>
      </c>
      <c r="E122" t="s">
        <v>19</v>
      </c>
      <c r="F122" t="s">
        <v>492</v>
      </c>
      <c r="G122" t="s">
        <v>493</v>
      </c>
      <c r="H122">
        <v>0</v>
      </c>
      <c r="I122">
        <v>250</v>
      </c>
      <c r="J122">
        <v>0</v>
      </c>
      <c r="K122">
        <v>0</v>
      </c>
      <c r="L122">
        <v>0</v>
      </c>
      <c r="M122">
        <v>250</v>
      </c>
      <c r="N122">
        <v>0</v>
      </c>
      <c r="O122">
        <v>0</v>
      </c>
    </row>
    <row r="123" spans="1:15" x14ac:dyDescent="0.3">
      <c r="A123" t="s">
        <v>26</v>
      </c>
      <c r="B123" t="s">
        <v>494</v>
      </c>
      <c r="C123" t="s">
        <v>495</v>
      </c>
      <c r="D123" t="s">
        <v>18</v>
      </c>
      <c r="E123" t="s">
        <v>19</v>
      </c>
      <c r="F123" t="s">
        <v>496</v>
      </c>
      <c r="G123">
        <f>254715728523 / 254715728423</f>
        <v>1.0000000003925946</v>
      </c>
      <c r="H123">
        <v>0</v>
      </c>
      <c r="I123">
        <v>250</v>
      </c>
      <c r="J123">
        <v>0</v>
      </c>
      <c r="K123">
        <v>0</v>
      </c>
      <c r="L123">
        <v>0</v>
      </c>
      <c r="M123">
        <v>250</v>
      </c>
      <c r="N123">
        <v>0</v>
      </c>
      <c r="O123">
        <v>0</v>
      </c>
    </row>
    <row r="124" spans="1:15" x14ac:dyDescent="0.3">
      <c r="A124" t="s">
        <v>26</v>
      </c>
      <c r="B124" t="s">
        <v>497</v>
      </c>
      <c r="C124" t="s">
        <v>498</v>
      </c>
      <c r="D124" t="s">
        <v>18</v>
      </c>
      <c r="E124" t="s">
        <v>19</v>
      </c>
      <c r="F124" t="s">
        <v>499</v>
      </c>
      <c r="G124" t="s">
        <v>500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">
      <c r="A125" t="s">
        <v>26</v>
      </c>
      <c r="B125" t="s">
        <v>501</v>
      </c>
      <c r="C125" t="s">
        <v>502</v>
      </c>
      <c r="D125" t="s">
        <v>18</v>
      </c>
      <c r="E125" t="s">
        <v>19</v>
      </c>
      <c r="F125" t="s">
        <v>503</v>
      </c>
      <c r="G125" t="s">
        <v>504</v>
      </c>
      <c r="H125">
        <v>0</v>
      </c>
      <c r="I125">
        <v>1270</v>
      </c>
      <c r="J125">
        <v>925</v>
      </c>
      <c r="K125">
        <v>0</v>
      </c>
      <c r="L125">
        <v>0</v>
      </c>
      <c r="M125">
        <v>640</v>
      </c>
      <c r="N125">
        <v>0</v>
      </c>
      <c r="O125">
        <v>0</v>
      </c>
    </row>
    <row r="126" spans="1:15" x14ac:dyDescent="0.3">
      <c r="A126" t="s">
        <v>26</v>
      </c>
      <c r="B126" t="s">
        <v>505</v>
      </c>
      <c r="C126" t="s">
        <v>506</v>
      </c>
      <c r="D126" t="s">
        <v>18</v>
      </c>
      <c r="E126" t="s">
        <v>19</v>
      </c>
      <c r="F126" t="s">
        <v>507</v>
      </c>
      <c r="G126" t="s">
        <v>508</v>
      </c>
      <c r="H126">
        <v>0</v>
      </c>
      <c r="I126">
        <v>250</v>
      </c>
      <c r="J126">
        <v>168</v>
      </c>
      <c r="K126">
        <v>0</v>
      </c>
      <c r="L126">
        <v>0</v>
      </c>
      <c r="M126">
        <v>250</v>
      </c>
      <c r="N126">
        <v>0</v>
      </c>
      <c r="O126">
        <v>0</v>
      </c>
    </row>
    <row r="127" spans="1:15" x14ac:dyDescent="0.3">
      <c r="A127" t="s">
        <v>26</v>
      </c>
      <c r="B127" t="s">
        <v>509</v>
      </c>
      <c r="C127" t="s">
        <v>510</v>
      </c>
      <c r="D127" t="s">
        <v>18</v>
      </c>
      <c r="E127" t="s">
        <v>19</v>
      </c>
      <c r="F127" t="s">
        <v>511</v>
      </c>
      <c r="G127" t="s">
        <v>512</v>
      </c>
      <c r="H127">
        <v>0</v>
      </c>
      <c r="I127">
        <v>250</v>
      </c>
      <c r="J127">
        <v>0</v>
      </c>
      <c r="K127">
        <v>0</v>
      </c>
      <c r="L127">
        <v>0</v>
      </c>
      <c r="M127">
        <v>250</v>
      </c>
      <c r="N127">
        <v>0</v>
      </c>
      <c r="O127">
        <v>0</v>
      </c>
    </row>
    <row r="128" spans="1:15" x14ac:dyDescent="0.3">
      <c r="A128" t="s">
        <v>26</v>
      </c>
      <c r="B128" t="s">
        <v>513</v>
      </c>
      <c r="C128" t="s">
        <v>514</v>
      </c>
      <c r="D128" t="s">
        <v>18</v>
      </c>
      <c r="E128" t="s">
        <v>19</v>
      </c>
      <c r="F128" t="s">
        <v>515</v>
      </c>
      <c r="G128" t="s">
        <v>516</v>
      </c>
      <c r="H128">
        <v>0</v>
      </c>
      <c r="I128">
        <v>984</v>
      </c>
      <c r="J128">
        <v>0</v>
      </c>
      <c r="K128">
        <v>0</v>
      </c>
      <c r="L128">
        <v>0</v>
      </c>
      <c r="M128">
        <v>984</v>
      </c>
      <c r="N128">
        <v>0</v>
      </c>
      <c r="O128">
        <v>0</v>
      </c>
    </row>
    <row r="129" spans="1:15" x14ac:dyDescent="0.3">
      <c r="A129" t="s">
        <v>26</v>
      </c>
      <c r="B129" t="s">
        <v>517</v>
      </c>
      <c r="C129" t="s">
        <v>518</v>
      </c>
      <c r="D129" t="s">
        <v>18</v>
      </c>
      <c r="E129" t="s">
        <v>19</v>
      </c>
      <c r="F129" t="s">
        <v>519</v>
      </c>
      <c r="G129">
        <f>254790563660 / 254790563660</f>
        <v>1</v>
      </c>
      <c r="H129">
        <v>0</v>
      </c>
      <c r="I129">
        <v>250</v>
      </c>
      <c r="J129">
        <v>0</v>
      </c>
      <c r="K129">
        <v>0</v>
      </c>
      <c r="L129">
        <v>0</v>
      </c>
      <c r="M129">
        <v>250</v>
      </c>
      <c r="N129">
        <v>0</v>
      </c>
      <c r="O129">
        <v>0</v>
      </c>
    </row>
    <row r="130" spans="1:15" x14ac:dyDescent="0.3">
      <c r="A130" t="s">
        <v>26</v>
      </c>
      <c r="B130" t="s">
        <v>520</v>
      </c>
      <c r="C130" t="s">
        <v>521</v>
      </c>
      <c r="D130" t="s">
        <v>18</v>
      </c>
      <c r="E130" t="s">
        <v>19</v>
      </c>
      <c r="F130" t="s">
        <v>522</v>
      </c>
      <c r="G130" t="s">
        <v>523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3">
      <c r="A131" t="s">
        <v>26</v>
      </c>
      <c r="B131" t="s">
        <v>524</v>
      </c>
      <c r="C131" t="s">
        <v>525</v>
      </c>
      <c r="D131" t="s">
        <v>18</v>
      </c>
      <c r="E131" t="s">
        <v>19</v>
      </c>
      <c r="F131" t="s">
        <v>526</v>
      </c>
      <c r="G131" t="s">
        <v>527</v>
      </c>
      <c r="H131">
        <v>0</v>
      </c>
      <c r="I131">
        <v>250</v>
      </c>
      <c r="J131">
        <v>5325</v>
      </c>
      <c r="K131">
        <v>0</v>
      </c>
      <c r="L131">
        <v>0</v>
      </c>
      <c r="M131">
        <v>250</v>
      </c>
      <c r="N131">
        <v>0</v>
      </c>
      <c r="O131">
        <v>0</v>
      </c>
    </row>
    <row r="132" spans="1:15" x14ac:dyDescent="0.3">
      <c r="A132" t="s">
        <v>26</v>
      </c>
      <c r="B132" t="s">
        <v>528</v>
      </c>
      <c r="C132" t="s">
        <v>529</v>
      </c>
      <c r="D132" t="s">
        <v>18</v>
      </c>
      <c r="E132" t="s">
        <v>19</v>
      </c>
      <c r="F132" t="s">
        <v>530</v>
      </c>
      <c r="G132" t="s">
        <v>531</v>
      </c>
      <c r="H132">
        <v>0</v>
      </c>
      <c r="I132">
        <v>3702</v>
      </c>
      <c r="J132">
        <v>2900</v>
      </c>
      <c r="K132">
        <v>0</v>
      </c>
      <c r="L132">
        <v>2500</v>
      </c>
      <c r="M132">
        <v>1027</v>
      </c>
      <c r="N132">
        <v>1232</v>
      </c>
      <c r="O132">
        <v>1600</v>
      </c>
    </row>
    <row r="133" spans="1:15" x14ac:dyDescent="0.3">
      <c r="A133" t="s">
        <v>26</v>
      </c>
      <c r="B133" t="s">
        <v>532</v>
      </c>
      <c r="C133" t="s">
        <v>533</v>
      </c>
      <c r="D133" t="s">
        <v>18</v>
      </c>
      <c r="E133" t="s">
        <v>19</v>
      </c>
      <c r="F133" t="s">
        <v>534</v>
      </c>
      <c r="G133" t="s">
        <v>535</v>
      </c>
      <c r="H133">
        <v>0</v>
      </c>
      <c r="I133">
        <v>250</v>
      </c>
      <c r="J133">
        <v>0</v>
      </c>
      <c r="K133">
        <v>0</v>
      </c>
      <c r="L133">
        <v>0</v>
      </c>
      <c r="M133">
        <v>250</v>
      </c>
      <c r="N133">
        <v>0</v>
      </c>
      <c r="O133">
        <v>0</v>
      </c>
    </row>
    <row r="134" spans="1:15" x14ac:dyDescent="0.3">
      <c r="A134" t="s">
        <v>26</v>
      </c>
      <c r="B134" t="s">
        <v>536</v>
      </c>
      <c r="C134" t="s">
        <v>537</v>
      </c>
      <c r="D134" t="s">
        <v>18</v>
      </c>
      <c r="E134" t="s">
        <v>19</v>
      </c>
      <c r="F134" t="s">
        <v>538</v>
      </c>
      <c r="G134" t="s">
        <v>539</v>
      </c>
      <c r="H134">
        <v>0</v>
      </c>
      <c r="I134">
        <v>250</v>
      </c>
      <c r="J134">
        <v>11832</v>
      </c>
      <c r="K134">
        <v>174</v>
      </c>
      <c r="L134">
        <v>0</v>
      </c>
      <c r="M134">
        <v>250</v>
      </c>
      <c r="N134">
        <v>0</v>
      </c>
      <c r="O134">
        <v>0</v>
      </c>
    </row>
    <row r="135" spans="1:15" x14ac:dyDescent="0.3">
      <c r="A135" t="s">
        <v>26</v>
      </c>
      <c r="B135" t="s">
        <v>540</v>
      </c>
      <c r="C135" t="s">
        <v>541</v>
      </c>
      <c r="D135" t="s">
        <v>18</v>
      </c>
      <c r="E135" t="s">
        <v>19</v>
      </c>
      <c r="F135" t="s">
        <v>542</v>
      </c>
      <c r="G135" t="s">
        <v>543</v>
      </c>
      <c r="H135">
        <v>1252</v>
      </c>
      <c r="I135">
        <v>3841</v>
      </c>
      <c r="J135">
        <v>7592</v>
      </c>
      <c r="K135">
        <v>5666</v>
      </c>
      <c r="L135">
        <v>0</v>
      </c>
      <c r="M135">
        <v>3453</v>
      </c>
      <c r="N135">
        <v>124</v>
      </c>
      <c r="O135">
        <v>0</v>
      </c>
    </row>
    <row r="136" spans="1:15" x14ac:dyDescent="0.3">
      <c r="A136" t="s">
        <v>26</v>
      </c>
      <c r="B136" t="s">
        <v>544</v>
      </c>
      <c r="C136" t="s">
        <v>545</v>
      </c>
      <c r="D136" t="s">
        <v>18</v>
      </c>
      <c r="E136" t="s">
        <v>19</v>
      </c>
      <c r="F136" t="s">
        <v>546</v>
      </c>
      <c r="G136" t="s">
        <v>547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3">
      <c r="A137" t="s">
        <v>26</v>
      </c>
      <c r="B137" t="s">
        <v>548</v>
      </c>
      <c r="C137" t="s">
        <v>549</v>
      </c>
      <c r="D137" t="s">
        <v>18</v>
      </c>
      <c r="E137" t="s">
        <v>19</v>
      </c>
      <c r="F137" t="s">
        <v>550</v>
      </c>
      <c r="G137" t="s">
        <v>551</v>
      </c>
      <c r="H137">
        <v>0</v>
      </c>
      <c r="I137">
        <v>250</v>
      </c>
      <c r="J137">
        <v>0</v>
      </c>
      <c r="K137">
        <v>0</v>
      </c>
      <c r="L137">
        <v>0</v>
      </c>
      <c r="M137">
        <v>250</v>
      </c>
      <c r="N137">
        <v>0</v>
      </c>
      <c r="O137">
        <v>0</v>
      </c>
    </row>
    <row r="138" spans="1:15" x14ac:dyDescent="0.3">
      <c r="A138" t="s">
        <v>26</v>
      </c>
      <c r="B138" t="s">
        <v>552</v>
      </c>
      <c r="C138" t="s">
        <v>553</v>
      </c>
      <c r="D138" t="s">
        <v>18</v>
      </c>
      <c r="E138" t="s">
        <v>19</v>
      </c>
      <c r="F138" t="s">
        <v>554</v>
      </c>
      <c r="G138">
        <f>254736826673 / 721826673</f>
        <v>352.90580994227128</v>
      </c>
      <c r="H138">
        <v>0</v>
      </c>
      <c r="I138">
        <v>250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3">
      <c r="A139" t="s">
        <v>26</v>
      </c>
      <c r="B139" t="s">
        <v>555</v>
      </c>
      <c r="C139" t="s">
        <v>556</v>
      </c>
      <c r="D139" t="s">
        <v>18</v>
      </c>
      <c r="E139" t="s">
        <v>19</v>
      </c>
      <c r="F139" t="s">
        <v>557</v>
      </c>
      <c r="G139" t="s">
        <v>558</v>
      </c>
      <c r="H139">
        <v>0</v>
      </c>
      <c r="I139">
        <v>250</v>
      </c>
      <c r="J139">
        <v>0</v>
      </c>
      <c r="K139">
        <v>0</v>
      </c>
      <c r="L139">
        <v>0</v>
      </c>
      <c r="M139">
        <v>250</v>
      </c>
      <c r="N139">
        <v>0</v>
      </c>
      <c r="O139">
        <v>0</v>
      </c>
    </row>
    <row r="140" spans="1:15" x14ac:dyDescent="0.3">
      <c r="A140" t="s">
        <v>26</v>
      </c>
      <c r="B140" t="s">
        <v>559</v>
      </c>
      <c r="C140" t="s">
        <v>560</v>
      </c>
      <c r="D140" t="s">
        <v>18</v>
      </c>
      <c r="E140" t="s">
        <v>19</v>
      </c>
      <c r="F140" t="s">
        <v>561</v>
      </c>
      <c r="G140" t="s">
        <v>562</v>
      </c>
      <c r="H140">
        <v>0</v>
      </c>
      <c r="I140">
        <v>250</v>
      </c>
      <c r="J140">
        <v>0</v>
      </c>
      <c r="K140">
        <v>0</v>
      </c>
      <c r="L140">
        <v>0</v>
      </c>
      <c r="M140">
        <v>250</v>
      </c>
      <c r="N140">
        <v>0</v>
      </c>
      <c r="O140">
        <v>0</v>
      </c>
    </row>
    <row r="141" spans="1:15" x14ac:dyDescent="0.3">
      <c r="A141" t="s">
        <v>26</v>
      </c>
      <c r="B141" t="s">
        <v>563</v>
      </c>
      <c r="C141" t="s">
        <v>564</v>
      </c>
      <c r="D141" t="s">
        <v>18</v>
      </c>
      <c r="E141" t="s">
        <v>19</v>
      </c>
      <c r="F141" t="s">
        <v>565</v>
      </c>
      <c r="G141" t="s">
        <v>566</v>
      </c>
      <c r="H141">
        <v>0</v>
      </c>
      <c r="I141">
        <v>748</v>
      </c>
      <c r="J141">
        <v>2470</v>
      </c>
      <c r="K141">
        <v>0</v>
      </c>
      <c r="L141">
        <v>0</v>
      </c>
      <c r="M141">
        <v>748</v>
      </c>
      <c r="N141">
        <v>0</v>
      </c>
      <c r="O141">
        <v>0</v>
      </c>
    </row>
    <row r="142" spans="1:15" x14ac:dyDescent="0.3">
      <c r="A142" t="s">
        <v>26</v>
      </c>
      <c r="B142" t="s">
        <v>567</v>
      </c>
      <c r="C142" t="s">
        <v>568</v>
      </c>
      <c r="D142" t="s">
        <v>18</v>
      </c>
      <c r="E142" t="s">
        <v>19</v>
      </c>
      <c r="F142" t="s">
        <v>569</v>
      </c>
      <c r="G142" t="s">
        <v>570</v>
      </c>
      <c r="H142">
        <v>0</v>
      </c>
      <c r="I142">
        <v>250</v>
      </c>
      <c r="J142">
        <v>0</v>
      </c>
      <c r="K142">
        <v>0</v>
      </c>
      <c r="L142">
        <v>0</v>
      </c>
      <c r="M142">
        <v>250</v>
      </c>
      <c r="N142">
        <v>0</v>
      </c>
      <c r="O142">
        <v>0</v>
      </c>
    </row>
    <row r="143" spans="1:15" x14ac:dyDescent="0.3">
      <c r="A143" t="s">
        <v>26</v>
      </c>
      <c r="B143" t="s">
        <v>571</v>
      </c>
      <c r="C143" t="s">
        <v>572</v>
      </c>
      <c r="D143" t="s">
        <v>18</v>
      </c>
      <c r="E143" t="s">
        <v>19</v>
      </c>
      <c r="F143" t="s">
        <v>573</v>
      </c>
      <c r="G143" t="s">
        <v>574</v>
      </c>
      <c r="H143">
        <v>0</v>
      </c>
      <c r="I143">
        <v>373</v>
      </c>
      <c r="J143">
        <v>0</v>
      </c>
      <c r="K143">
        <v>3215</v>
      </c>
      <c r="L143">
        <v>0</v>
      </c>
      <c r="M143">
        <v>373</v>
      </c>
      <c r="N143">
        <v>0</v>
      </c>
      <c r="O143">
        <v>0</v>
      </c>
    </row>
    <row r="144" spans="1:15" x14ac:dyDescent="0.3">
      <c r="A144" t="s">
        <v>26</v>
      </c>
      <c r="B144" t="s">
        <v>575</v>
      </c>
      <c r="C144" t="s">
        <v>576</v>
      </c>
      <c r="D144" t="s">
        <v>18</v>
      </c>
      <c r="E144" t="s">
        <v>19</v>
      </c>
      <c r="F144" t="s">
        <v>577</v>
      </c>
      <c r="G144" t="s">
        <v>578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3">
      <c r="A145" t="s">
        <v>26</v>
      </c>
      <c r="B145" t="s">
        <v>579</v>
      </c>
      <c r="C145" t="s">
        <v>580</v>
      </c>
      <c r="D145" t="s">
        <v>18</v>
      </c>
      <c r="E145" t="s">
        <v>19</v>
      </c>
      <c r="F145" t="s">
        <v>581</v>
      </c>
      <c r="G145" t="s">
        <v>582</v>
      </c>
      <c r="H145">
        <v>0</v>
      </c>
      <c r="I145">
        <v>250</v>
      </c>
      <c r="J145">
        <v>0</v>
      </c>
      <c r="K145">
        <v>0</v>
      </c>
      <c r="L145">
        <v>0</v>
      </c>
      <c r="M145">
        <v>250</v>
      </c>
      <c r="N145">
        <v>0</v>
      </c>
      <c r="O145">
        <v>0</v>
      </c>
    </row>
    <row r="146" spans="1:15" x14ac:dyDescent="0.3">
      <c r="A146" t="s">
        <v>26</v>
      </c>
      <c r="B146" t="s">
        <v>583</v>
      </c>
      <c r="C146" t="s">
        <v>584</v>
      </c>
      <c r="D146" t="s">
        <v>18</v>
      </c>
      <c r="E146" t="s">
        <v>19</v>
      </c>
      <c r="F146" t="s">
        <v>585</v>
      </c>
      <c r="G146" t="s">
        <v>586</v>
      </c>
      <c r="H146">
        <v>0</v>
      </c>
      <c r="I146">
        <v>250</v>
      </c>
      <c r="J146">
        <v>0</v>
      </c>
      <c r="K146">
        <v>0</v>
      </c>
      <c r="L146">
        <v>0</v>
      </c>
      <c r="M146">
        <v>250</v>
      </c>
      <c r="N146">
        <v>0</v>
      </c>
      <c r="O146">
        <v>0</v>
      </c>
    </row>
    <row r="147" spans="1:15" x14ac:dyDescent="0.3">
      <c r="A147" t="s">
        <v>26</v>
      </c>
      <c r="B147" t="s">
        <v>587</v>
      </c>
      <c r="C147" t="s">
        <v>588</v>
      </c>
      <c r="D147" t="s">
        <v>18</v>
      </c>
      <c r="E147" t="s">
        <v>19</v>
      </c>
      <c r="F147" t="s">
        <v>589</v>
      </c>
      <c r="G147" t="s">
        <v>590</v>
      </c>
      <c r="H147">
        <v>0</v>
      </c>
      <c r="I147">
        <v>250</v>
      </c>
      <c r="J147">
        <v>0</v>
      </c>
      <c r="K147">
        <v>0</v>
      </c>
      <c r="L147">
        <v>0</v>
      </c>
      <c r="M147">
        <v>250</v>
      </c>
      <c r="N147">
        <v>0</v>
      </c>
      <c r="O147">
        <v>0</v>
      </c>
    </row>
    <row r="148" spans="1:15" x14ac:dyDescent="0.3">
      <c r="A148" t="s">
        <v>26</v>
      </c>
      <c r="B148" t="s">
        <v>591</v>
      </c>
      <c r="C148" t="s">
        <v>592</v>
      </c>
      <c r="D148" t="s">
        <v>18</v>
      </c>
      <c r="E148" t="s">
        <v>19</v>
      </c>
      <c r="F148" t="s">
        <v>593</v>
      </c>
      <c r="G148" t="s">
        <v>594</v>
      </c>
      <c r="H148">
        <v>0</v>
      </c>
      <c r="I148">
        <v>250</v>
      </c>
      <c r="J148">
        <v>0</v>
      </c>
      <c r="K148">
        <v>0</v>
      </c>
      <c r="L148">
        <v>0</v>
      </c>
      <c r="M148">
        <v>250</v>
      </c>
      <c r="N148">
        <v>0</v>
      </c>
      <c r="O148">
        <v>0</v>
      </c>
    </row>
    <row r="149" spans="1:15" x14ac:dyDescent="0.3">
      <c r="A149" t="s">
        <v>26</v>
      </c>
      <c r="B149" t="s">
        <v>595</v>
      </c>
      <c r="C149" t="s">
        <v>596</v>
      </c>
      <c r="D149" t="s">
        <v>18</v>
      </c>
      <c r="E149" t="s">
        <v>19</v>
      </c>
      <c r="F149" t="s">
        <v>597</v>
      </c>
      <c r="G149" t="s">
        <v>598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3">
      <c r="A150" t="s">
        <v>26</v>
      </c>
      <c r="B150" t="s">
        <v>599</v>
      </c>
      <c r="C150" t="s">
        <v>600</v>
      </c>
      <c r="D150" t="s">
        <v>18</v>
      </c>
      <c r="E150" t="s">
        <v>19</v>
      </c>
      <c r="F150" t="s">
        <v>601</v>
      </c>
      <c r="G150" t="s">
        <v>602</v>
      </c>
      <c r="H150">
        <v>0</v>
      </c>
      <c r="I150">
        <v>250</v>
      </c>
      <c r="J150">
        <v>0</v>
      </c>
      <c r="K150">
        <v>0</v>
      </c>
      <c r="L150">
        <v>0</v>
      </c>
      <c r="M150">
        <v>250</v>
      </c>
      <c r="N150">
        <v>0</v>
      </c>
      <c r="O150">
        <v>0</v>
      </c>
    </row>
    <row r="151" spans="1:15" x14ac:dyDescent="0.3">
      <c r="A151" t="s">
        <v>26</v>
      </c>
      <c r="B151" t="s">
        <v>603</v>
      </c>
      <c r="C151" t="s">
        <v>604</v>
      </c>
      <c r="D151" t="s">
        <v>18</v>
      </c>
      <c r="E151" t="s">
        <v>19</v>
      </c>
      <c r="F151" t="s">
        <v>605</v>
      </c>
      <c r="G151" t="s">
        <v>606</v>
      </c>
      <c r="H151">
        <v>0</v>
      </c>
      <c r="I151">
        <v>250</v>
      </c>
      <c r="J151">
        <v>0</v>
      </c>
      <c r="K151">
        <v>0</v>
      </c>
      <c r="L151">
        <v>0</v>
      </c>
      <c r="M151">
        <v>250</v>
      </c>
      <c r="N151">
        <v>0</v>
      </c>
      <c r="O151">
        <v>0</v>
      </c>
    </row>
    <row r="152" spans="1:15" x14ac:dyDescent="0.3">
      <c r="A152" t="s">
        <v>26</v>
      </c>
      <c r="B152" t="s">
        <v>607</v>
      </c>
      <c r="C152" t="s">
        <v>608</v>
      </c>
      <c r="D152" t="s">
        <v>18</v>
      </c>
      <c r="E152" t="s">
        <v>19</v>
      </c>
      <c r="F152" t="s">
        <v>609</v>
      </c>
      <c r="G152" t="s">
        <v>610</v>
      </c>
      <c r="H152">
        <v>0</v>
      </c>
      <c r="I152">
        <v>250</v>
      </c>
      <c r="J152">
        <v>0</v>
      </c>
      <c r="K152">
        <v>0</v>
      </c>
      <c r="L152">
        <v>0</v>
      </c>
      <c r="M152">
        <v>250</v>
      </c>
      <c r="N152">
        <v>0</v>
      </c>
      <c r="O152">
        <v>0</v>
      </c>
    </row>
    <row r="153" spans="1:15" x14ac:dyDescent="0.3">
      <c r="A153" t="s">
        <v>26</v>
      </c>
      <c r="B153" t="s">
        <v>611</v>
      </c>
      <c r="C153" t="s">
        <v>612</v>
      </c>
      <c r="D153" t="s">
        <v>18</v>
      </c>
      <c r="E153" t="s">
        <v>19</v>
      </c>
      <c r="F153" t="s">
        <v>613</v>
      </c>
      <c r="G153" t="s">
        <v>614</v>
      </c>
      <c r="H153">
        <v>0</v>
      </c>
      <c r="I153">
        <v>250</v>
      </c>
      <c r="J153">
        <v>0</v>
      </c>
      <c r="K153">
        <v>0</v>
      </c>
      <c r="L153">
        <v>0</v>
      </c>
      <c r="M153">
        <v>250</v>
      </c>
      <c r="N153">
        <v>0</v>
      </c>
      <c r="O153">
        <v>0</v>
      </c>
    </row>
    <row r="154" spans="1:15" x14ac:dyDescent="0.3">
      <c r="A154" t="s">
        <v>26</v>
      </c>
      <c r="B154" t="s">
        <v>615</v>
      </c>
      <c r="C154" t="s">
        <v>616</v>
      </c>
      <c r="D154" t="s">
        <v>18</v>
      </c>
      <c r="E154" t="s">
        <v>19</v>
      </c>
      <c r="F154" t="s">
        <v>617</v>
      </c>
      <c r="G154" t="s">
        <v>618</v>
      </c>
      <c r="H154">
        <v>0</v>
      </c>
      <c r="I154">
        <v>250</v>
      </c>
      <c r="J154">
        <v>0</v>
      </c>
      <c r="K154">
        <v>0</v>
      </c>
      <c r="L154">
        <v>0</v>
      </c>
      <c r="M154">
        <v>250</v>
      </c>
      <c r="N154">
        <v>0</v>
      </c>
      <c r="O154">
        <v>0</v>
      </c>
    </row>
    <row r="155" spans="1:15" x14ac:dyDescent="0.3">
      <c r="A155" t="s">
        <v>26</v>
      </c>
      <c r="B155" t="s">
        <v>619</v>
      </c>
      <c r="C155" t="s">
        <v>620</v>
      </c>
      <c r="D155" t="s">
        <v>18</v>
      </c>
      <c r="E155" t="s">
        <v>19</v>
      </c>
      <c r="F155" t="s">
        <v>621</v>
      </c>
      <c r="G155" t="s">
        <v>622</v>
      </c>
      <c r="H155">
        <v>11237</v>
      </c>
      <c r="I155">
        <v>41998</v>
      </c>
      <c r="J155">
        <v>188271</v>
      </c>
      <c r="K155">
        <v>4325</v>
      </c>
      <c r="L155">
        <v>0</v>
      </c>
      <c r="M155">
        <v>6808</v>
      </c>
      <c r="N155">
        <v>8537</v>
      </c>
      <c r="O155">
        <v>23700</v>
      </c>
    </row>
    <row r="156" spans="1:15" x14ac:dyDescent="0.3">
      <c r="A156" t="s">
        <v>26</v>
      </c>
      <c r="B156" t="s">
        <v>623</v>
      </c>
      <c r="C156" t="s">
        <v>624</v>
      </c>
      <c r="D156" t="s">
        <v>18</v>
      </c>
      <c r="E156" t="s">
        <v>19</v>
      </c>
      <c r="F156" t="s">
        <v>625</v>
      </c>
      <c r="G156" t="s">
        <v>626</v>
      </c>
      <c r="H156">
        <v>0</v>
      </c>
      <c r="I156">
        <v>250</v>
      </c>
      <c r="J156">
        <v>0</v>
      </c>
      <c r="K156">
        <v>0</v>
      </c>
      <c r="L156">
        <v>0</v>
      </c>
      <c r="M156">
        <v>250</v>
      </c>
      <c r="N156">
        <v>0</v>
      </c>
      <c r="O156">
        <v>0</v>
      </c>
    </row>
    <row r="157" spans="1:15" x14ac:dyDescent="0.3">
      <c r="A157" t="s">
        <v>26</v>
      </c>
      <c r="B157" t="s">
        <v>627</v>
      </c>
      <c r="C157" t="s">
        <v>628</v>
      </c>
      <c r="D157" t="s">
        <v>18</v>
      </c>
      <c r="E157" t="s">
        <v>19</v>
      </c>
      <c r="F157" t="s">
        <v>629</v>
      </c>
      <c r="G157" t="s">
        <v>630</v>
      </c>
      <c r="H157">
        <v>0</v>
      </c>
      <c r="I157">
        <v>250</v>
      </c>
      <c r="J157">
        <v>0</v>
      </c>
      <c r="K157">
        <v>0</v>
      </c>
      <c r="L157">
        <v>0</v>
      </c>
      <c r="M157">
        <v>250</v>
      </c>
      <c r="N157">
        <v>0</v>
      </c>
      <c r="O157">
        <v>0</v>
      </c>
    </row>
    <row r="158" spans="1:15" x14ac:dyDescent="0.3">
      <c r="A158" t="s">
        <v>26</v>
      </c>
      <c r="B158" t="s">
        <v>631</v>
      </c>
      <c r="C158" t="s">
        <v>632</v>
      </c>
      <c r="D158" t="s">
        <v>18</v>
      </c>
      <c r="E158" t="s">
        <v>19</v>
      </c>
      <c r="F158" t="s">
        <v>633</v>
      </c>
      <c r="G158" t="s">
        <v>634</v>
      </c>
      <c r="H158">
        <v>0</v>
      </c>
      <c r="I158">
        <v>250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3">
      <c r="A159" t="s">
        <v>26</v>
      </c>
      <c r="B159" t="s">
        <v>635</v>
      </c>
      <c r="C159" t="s">
        <v>636</v>
      </c>
      <c r="D159" t="s">
        <v>18</v>
      </c>
      <c r="E159" t="s">
        <v>19</v>
      </c>
      <c r="F159" t="s">
        <v>637</v>
      </c>
      <c r="G159" t="s">
        <v>638</v>
      </c>
      <c r="H159">
        <v>0</v>
      </c>
      <c r="I159">
        <v>250</v>
      </c>
      <c r="J159">
        <v>0</v>
      </c>
      <c r="K159">
        <v>0</v>
      </c>
      <c r="L159">
        <v>0</v>
      </c>
      <c r="M159">
        <v>250</v>
      </c>
      <c r="N159">
        <v>0</v>
      </c>
      <c r="O159">
        <v>0</v>
      </c>
    </row>
    <row r="160" spans="1:15" x14ac:dyDescent="0.3">
      <c r="A160" t="s">
        <v>26</v>
      </c>
      <c r="B160" t="s">
        <v>639</v>
      </c>
      <c r="C160" t="s">
        <v>640</v>
      </c>
      <c r="D160" t="s">
        <v>18</v>
      </c>
      <c r="E160" t="s">
        <v>19</v>
      </c>
      <c r="F160" t="s">
        <v>641</v>
      </c>
      <c r="G160" t="s">
        <v>642</v>
      </c>
      <c r="H160">
        <v>0</v>
      </c>
      <c r="I160">
        <v>250</v>
      </c>
      <c r="J160">
        <v>0</v>
      </c>
      <c r="K160">
        <v>0</v>
      </c>
      <c r="L160">
        <v>0</v>
      </c>
      <c r="M160">
        <v>250</v>
      </c>
      <c r="N160">
        <v>0</v>
      </c>
      <c r="O160">
        <v>0</v>
      </c>
    </row>
    <row r="161" spans="1:15" x14ac:dyDescent="0.3">
      <c r="A161" t="s">
        <v>26</v>
      </c>
      <c r="B161" t="s">
        <v>643</v>
      </c>
      <c r="C161" t="s">
        <v>644</v>
      </c>
      <c r="D161" t="s">
        <v>18</v>
      </c>
      <c r="E161" t="s">
        <v>19</v>
      </c>
      <c r="F161" t="s">
        <v>645</v>
      </c>
      <c r="G161">
        <f>254723923539 / 721332313</f>
        <v>353.12978352461522</v>
      </c>
      <c r="H161">
        <v>0</v>
      </c>
      <c r="I161">
        <v>250</v>
      </c>
      <c r="J161">
        <v>0</v>
      </c>
      <c r="K161">
        <v>0</v>
      </c>
      <c r="L161">
        <v>0</v>
      </c>
      <c r="M161">
        <v>250</v>
      </c>
      <c r="N161">
        <v>0</v>
      </c>
      <c r="O161">
        <v>0</v>
      </c>
    </row>
    <row r="162" spans="1:15" x14ac:dyDescent="0.3">
      <c r="A162" t="s">
        <v>26</v>
      </c>
      <c r="B162" t="s">
        <v>646</v>
      </c>
      <c r="C162" t="s">
        <v>647</v>
      </c>
      <c r="D162" t="s">
        <v>18</v>
      </c>
      <c r="E162" t="s">
        <v>19</v>
      </c>
      <c r="F162" t="s">
        <v>648</v>
      </c>
      <c r="G162" t="s">
        <v>649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3">
      <c r="A163" t="s">
        <v>26</v>
      </c>
      <c r="B163" t="s">
        <v>650</v>
      </c>
      <c r="C163" t="s">
        <v>651</v>
      </c>
      <c r="D163" t="s">
        <v>18</v>
      </c>
      <c r="E163" t="s">
        <v>19</v>
      </c>
      <c r="F163" t="s">
        <v>652</v>
      </c>
      <c r="G163" t="s">
        <v>653</v>
      </c>
      <c r="H163">
        <v>0</v>
      </c>
      <c r="I163">
        <v>681</v>
      </c>
      <c r="J163">
        <v>905</v>
      </c>
      <c r="K163">
        <v>238</v>
      </c>
      <c r="L163">
        <v>0</v>
      </c>
      <c r="M163">
        <v>681</v>
      </c>
      <c r="N163">
        <v>0</v>
      </c>
      <c r="O163">
        <v>0</v>
      </c>
    </row>
    <row r="164" spans="1:15" x14ac:dyDescent="0.3">
      <c r="A164" t="s">
        <v>26</v>
      </c>
      <c r="B164" t="s">
        <v>654</v>
      </c>
      <c r="C164" t="s">
        <v>655</v>
      </c>
      <c r="D164" t="s">
        <v>18</v>
      </c>
      <c r="E164" t="s">
        <v>19</v>
      </c>
      <c r="F164" t="s">
        <v>656</v>
      </c>
      <c r="G164" t="s">
        <v>657</v>
      </c>
      <c r="H164">
        <v>0</v>
      </c>
      <c r="I164">
        <v>250</v>
      </c>
      <c r="J164">
        <v>2380</v>
      </c>
      <c r="K164">
        <v>118</v>
      </c>
      <c r="L164">
        <v>0</v>
      </c>
      <c r="M164">
        <v>250</v>
      </c>
      <c r="N164">
        <v>0</v>
      </c>
      <c r="O164">
        <v>0</v>
      </c>
    </row>
    <row r="165" spans="1:15" x14ac:dyDescent="0.3">
      <c r="A165" t="s">
        <v>26</v>
      </c>
      <c r="B165" t="s">
        <v>658</v>
      </c>
      <c r="C165" t="s">
        <v>659</v>
      </c>
      <c r="D165" t="s">
        <v>18</v>
      </c>
      <c r="E165" t="s">
        <v>19</v>
      </c>
      <c r="F165" t="s">
        <v>660</v>
      </c>
      <c r="G165" t="s">
        <v>661</v>
      </c>
      <c r="H165">
        <v>0</v>
      </c>
      <c r="I165">
        <v>250</v>
      </c>
      <c r="J165">
        <v>0</v>
      </c>
      <c r="K165">
        <v>0</v>
      </c>
      <c r="L165">
        <v>0</v>
      </c>
      <c r="M165">
        <v>250</v>
      </c>
      <c r="N165">
        <v>0</v>
      </c>
      <c r="O165">
        <v>0</v>
      </c>
    </row>
    <row r="166" spans="1:15" x14ac:dyDescent="0.3">
      <c r="A166" t="s">
        <v>26</v>
      </c>
      <c r="B166" t="s">
        <v>662</v>
      </c>
      <c r="C166" t="s">
        <v>663</v>
      </c>
      <c r="D166" t="s">
        <v>18</v>
      </c>
      <c r="E166" t="s">
        <v>19</v>
      </c>
      <c r="F166" t="s">
        <v>664</v>
      </c>
      <c r="G166" t="s">
        <v>665</v>
      </c>
      <c r="H166">
        <v>1717</v>
      </c>
      <c r="I166">
        <v>5319</v>
      </c>
      <c r="J166">
        <v>15478</v>
      </c>
      <c r="K166">
        <v>1648</v>
      </c>
      <c r="L166">
        <v>11000</v>
      </c>
      <c r="M166">
        <v>4371</v>
      </c>
      <c r="N166">
        <v>580</v>
      </c>
      <c r="O166">
        <v>0</v>
      </c>
    </row>
    <row r="167" spans="1:15" x14ac:dyDescent="0.3">
      <c r="A167" t="s">
        <v>26</v>
      </c>
      <c r="B167" t="s">
        <v>666</v>
      </c>
      <c r="C167" t="s">
        <v>667</v>
      </c>
      <c r="D167" t="s">
        <v>18</v>
      </c>
      <c r="E167" t="s">
        <v>19</v>
      </c>
      <c r="F167" t="s">
        <v>668</v>
      </c>
      <c r="G167" t="s">
        <v>669</v>
      </c>
      <c r="H167">
        <v>0</v>
      </c>
      <c r="I167">
        <v>250</v>
      </c>
      <c r="J167">
        <v>0</v>
      </c>
      <c r="K167">
        <v>0</v>
      </c>
      <c r="L167">
        <v>0</v>
      </c>
      <c r="M167">
        <v>250</v>
      </c>
      <c r="N167">
        <v>0</v>
      </c>
      <c r="O167">
        <v>0</v>
      </c>
    </row>
    <row r="168" spans="1:15" x14ac:dyDescent="0.3">
      <c r="A168" t="s">
        <v>26</v>
      </c>
      <c r="B168" t="s">
        <v>670</v>
      </c>
      <c r="C168" t="s">
        <v>671</v>
      </c>
      <c r="D168" t="s">
        <v>18</v>
      </c>
      <c r="E168" t="s">
        <v>19</v>
      </c>
      <c r="F168" t="s">
        <v>672</v>
      </c>
      <c r="G168" t="s">
        <v>673</v>
      </c>
      <c r="H168">
        <v>5819</v>
      </c>
      <c r="I168">
        <v>2696</v>
      </c>
      <c r="J168">
        <v>9381</v>
      </c>
      <c r="K168">
        <v>497</v>
      </c>
      <c r="L168">
        <v>2000</v>
      </c>
      <c r="M168">
        <v>2696</v>
      </c>
      <c r="N168">
        <v>1363</v>
      </c>
      <c r="O168">
        <v>0</v>
      </c>
    </row>
    <row r="169" spans="1:15" x14ac:dyDescent="0.3">
      <c r="A169" t="s">
        <v>26</v>
      </c>
      <c r="B169" t="s">
        <v>674</v>
      </c>
      <c r="C169" t="s">
        <v>675</v>
      </c>
      <c r="D169" t="s">
        <v>18</v>
      </c>
      <c r="E169" t="s">
        <v>19</v>
      </c>
      <c r="F169" t="s">
        <v>676</v>
      </c>
      <c r="G169" t="s">
        <v>677</v>
      </c>
      <c r="H169">
        <v>0</v>
      </c>
      <c r="I169">
        <v>250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3">
      <c r="A170" t="s">
        <v>26</v>
      </c>
      <c r="B170" t="s">
        <v>678</v>
      </c>
      <c r="C170" t="s">
        <v>679</v>
      </c>
      <c r="D170" t="s">
        <v>18</v>
      </c>
      <c r="E170" t="s">
        <v>19</v>
      </c>
      <c r="F170" t="s">
        <v>680</v>
      </c>
      <c r="G170" t="s">
        <v>681</v>
      </c>
      <c r="H170">
        <v>0</v>
      </c>
      <c r="I170">
        <v>10657</v>
      </c>
      <c r="J170">
        <v>482</v>
      </c>
      <c r="K170">
        <v>0</v>
      </c>
      <c r="L170">
        <v>4200</v>
      </c>
      <c r="M170">
        <v>9357</v>
      </c>
      <c r="N170">
        <v>200</v>
      </c>
      <c r="O170">
        <v>0</v>
      </c>
    </row>
    <row r="171" spans="1:15" x14ac:dyDescent="0.3">
      <c r="A171" t="s">
        <v>26</v>
      </c>
      <c r="B171" t="s">
        <v>682</v>
      </c>
      <c r="C171" t="s">
        <v>683</v>
      </c>
      <c r="D171" t="s">
        <v>18</v>
      </c>
      <c r="E171" t="s">
        <v>19</v>
      </c>
      <c r="F171" t="s">
        <v>684</v>
      </c>
      <c r="G171" t="s">
        <v>685</v>
      </c>
      <c r="H171">
        <v>0</v>
      </c>
      <c r="I171">
        <v>250</v>
      </c>
      <c r="J171">
        <v>0</v>
      </c>
      <c r="K171">
        <v>0</v>
      </c>
      <c r="L171">
        <v>0</v>
      </c>
      <c r="M171">
        <v>250</v>
      </c>
      <c r="N171">
        <v>0</v>
      </c>
      <c r="O171">
        <v>0</v>
      </c>
    </row>
    <row r="172" spans="1:15" x14ac:dyDescent="0.3">
      <c r="A172" t="s">
        <v>26</v>
      </c>
      <c r="B172" t="s">
        <v>686</v>
      </c>
      <c r="C172" t="s">
        <v>687</v>
      </c>
      <c r="D172" t="s">
        <v>18</v>
      </c>
      <c r="E172" t="s">
        <v>19</v>
      </c>
      <c r="F172" t="s">
        <v>688</v>
      </c>
      <c r="G172" t="s">
        <v>689</v>
      </c>
      <c r="H172">
        <v>0</v>
      </c>
      <c r="I172">
        <v>896</v>
      </c>
      <c r="J172">
        <v>0</v>
      </c>
      <c r="K172">
        <v>0</v>
      </c>
      <c r="L172">
        <v>0</v>
      </c>
      <c r="M172">
        <v>896</v>
      </c>
      <c r="N172">
        <v>0</v>
      </c>
      <c r="O172">
        <v>0</v>
      </c>
    </row>
    <row r="173" spans="1:15" x14ac:dyDescent="0.3">
      <c r="A173" t="s">
        <v>26</v>
      </c>
      <c r="B173" t="s">
        <v>690</v>
      </c>
      <c r="C173" t="s">
        <v>691</v>
      </c>
      <c r="D173" t="s">
        <v>18</v>
      </c>
      <c r="E173" t="s">
        <v>19</v>
      </c>
      <c r="F173" t="s">
        <v>692</v>
      </c>
      <c r="G173" t="s">
        <v>693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3">
      <c r="A174" t="s">
        <v>26</v>
      </c>
      <c r="B174" t="s">
        <v>694</v>
      </c>
      <c r="C174" t="s">
        <v>695</v>
      </c>
      <c r="D174" t="s">
        <v>18</v>
      </c>
      <c r="E174" t="s">
        <v>19</v>
      </c>
      <c r="F174" t="s">
        <v>696</v>
      </c>
      <c r="G174">
        <f>254727290552 / 254727290552</f>
        <v>1</v>
      </c>
      <c r="H174">
        <v>0</v>
      </c>
      <c r="I174">
        <v>250</v>
      </c>
      <c r="J174">
        <v>0</v>
      </c>
      <c r="K174">
        <v>0</v>
      </c>
      <c r="L174">
        <v>0</v>
      </c>
      <c r="M174">
        <v>250</v>
      </c>
      <c r="N174">
        <v>0</v>
      </c>
      <c r="O174">
        <v>0</v>
      </c>
    </row>
    <row r="175" spans="1:15" x14ac:dyDescent="0.3">
      <c r="A175" t="s">
        <v>26</v>
      </c>
      <c r="B175" t="s">
        <v>697</v>
      </c>
      <c r="C175" t="s">
        <v>698</v>
      </c>
      <c r="D175" t="s">
        <v>18</v>
      </c>
      <c r="E175" t="s">
        <v>19</v>
      </c>
      <c r="F175" t="s">
        <v>699</v>
      </c>
      <c r="G175" t="s">
        <v>700</v>
      </c>
      <c r="H175">
        <v>0</v>
      </c>
      <c r="I175">
        <v>250</v>
      </c>
      <c r="J175">
        <v>0</v>
      </c>
      <c r="K175">
        <v>0</v>
      </c>
      <c r="L175">
        <v>0</v>
      </c>
      <c r="M175">
        <v>250</v>
      </c>
      <c r="N175">
        <v>0</v>
      </c>
      <c r="O175">
        <v>0</v>
      </c>
    </row>
    <row r="176" spans="1:15" x14ac:dyDescent="0.3">
      <c r="A176" t="s">
        <v>26</v>
      </c>
      <c r="B176" t="s">
        <v>701</v>
      </c>
      <c r="C176" t="s">
        <v>702</v>
      </c>
      <c r="D176" t="s">
        <v>18</v>
      </c>
      <c r="E176" t="s">
        <v>19</v>
      </c>
      <c r="F176" t="s">
        <v>703</v>
      </c>
      <c r="G176" t="s">
        <v>704</v>
      </c>
      <c r="H176">
        <v>0</v>
      </c>
      <c r="I176">
        <v>250</v>
      </c>
      <c r="J176">
        <v>0</v>
      </c>
      <c r="K176">
        <v>0</v>
      </c>
      <c r="L176">
        <v>0</v>
      </c>
      <c r="M176">
        <v>250</v>
      </c>
      <c r="N176">
        <v>0</v>
      </c>
      <c r="O176">
        <v>0</v>
      </c>
    </row>
    <row r="177" spans="1:15" x14ac:dyDescent="0.3">
      <c r="A177" t="s">
        <v>26</v>
      </c>
      <c r="B177" t="s">
        <v>705</v>
      </c>
      <c r="C177" t="s">
        <v>706</v>
      </c>
      <c r="D177" t="s">
        <v>18</v>
      </c>
      <c r="E177" t="s">
        <v>19</v>
      </c>
      <c r="F177" t="s">
        <v>707</v>
      </c>
      <c r="G177" t="s">
        <v>708</v>
      </c>
      <c r="H177">
        <v>0</v>
      </c>
      <c r="I177">
        <v>250</v>
      </c>
      <c r="J177">
        <v>0</v>
      </c>
      <c r="K177">
        <v>360</v>
      </c>
      <c r="L177">
        <v>0</v>
      </c>
      <c r="M177">
        <v>250</v>
      </c>
      <c r="N177">
        <v>0</v>
      </c>
      <c r="O177">
        <v>0</v>
      </c>
    </row>
    <row r="178" spans="1:15" x14ac:dyDescent="0.3">
      <c r="A178" t="s">
        <v>26</v>
      </c>
      <c r="B178" t="s">
        <v>709</v>
      </c>
      <c r="C178" t="s">
        <v>710</v>
      </c>
      <c r="D178" t="s">
        <v>18</v>
      </c>
      <c r="E178" t="s">
        <v>19</v>
      </c>
      <c r="F178" t="s">
        <v>711</v>
      </c>
      <c r="G178" t="s">
        <v>712</v>
      </c>
      <c r="H178">
        <v>0</v>
      </c>
      <c r="I178">
        <v>757</v>
      </c>
      <c r="J178">
        <v>1196</v>
      </c>
      <c r="K178">
        <v>0</v>
      </c>
      <c r="L178">
        <v>0</v>
      </c>
      <c r="M178">
        <v>250</v>
      </c>
      <c r="N178">
        <v>0</v>
      </c>
      <c r="O178">
        <v>0</v>
      </c>
    </row>
    <row r="179" spans="1:15" x14ac:dyDescent="0.3">
      <c r="A179" t="s">
        <v>26</v>
      </c>
      <c r="B179" t="s">
        <v>713</v>
      </c>
      <c r="C179" t="s">
        <v>714</v>
      </c>
      <c r="D179" t="s">
        <v>18</v>
      </c>
      <c r="E179" t="s">
        <v>19</v>
      </c>
      <c r="F179" t="s">
        <v>715</v>
      </c>
      <c r="G179" t="s">
        <v>716</v>
      </c>
      <c r="H179">
        <v>0</v>
      </c>
      <c r="I179">
        <v>250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3">
      <c r="A180" t="s">
        <v>26</v>
      </c>
      <c r="B180" t="s">
        <v>717</v>
      </c>
      <c r="C180" t="s">
        <v>718</v>
      </c>
      <c r="D180" t="s">
        <v>18</v>
      </c>
      <c r="E180" t="s">
        <v>19</v>
      </c>
      <c r="F180" t="s">
        <v>719</v>
      </c>
      <c r="G180" t="s">
        <v>720</v>
      </c>
      <c r="H180">
        <v>0</v>
      </c>
      <c r="I180">
        <v>250</v>
      </c>
      <c r="J180">
        <v>0</v>
      </c>
      <c r="K180">
        <v>0</v>
      </c>
      <c r="L180">
        <v>0</v>
      </c>
      <c r="M180">
        <v>250</v>
      </c>
      <c r="N180">
        <v>0</v>
      </c>
      <c r="O180">
        <v>0</v>
      </c>
    </row>
    <row r="181" spans="1:15" x14ac:dyDescent="0.3">
      <c r="A181" t="s">
        <v>26</v>
      </c>
      <c r="B181" t="s">
        <v>721</v>
      </c>
      <c r="C181" t="s">
        <v>722</v>
      </c>
      <c r="D181" t="s">
        <v>18</v>
      </c>
      <c r="E181" t="s">
        <v>19</v>
      </c>
      <c r="F181" t="s">
        <v>723</v>
      </c>
      <c r="G181" t="s">
        <v>724</v>
      </c>
      <c r="H181">
        <v>0</v>
      </c>
      <c r="I181">
        <v>250</v>
      </c>
      <c r="J181">
        <v>0</v>
      </c>
      <c r="K181">
        <v>0</v>
      </c>
      <c r="L181">
        <v>0</v>
      </c>
      <c r="M181">
        <v>250</v>
      </c>
      <c r="N181">
        <v>0</v>
      </c>
      <c r="O181">
        <v>0</v>
      </c>
    </row>
    <row r="182" spans="1:15" x14ac:dyDescent="0.3">
      <c r="A182" t="s">
        <v>26</v>
      </c>
      <c r="B182" t="s">
        <v>725</v>
      </c>
      <c r="C182" t="s">
        <v>726</v>
      </c>
      <c r="D182" t="s">
        <v>18</v>
      </c>
      <c r="E182" t="s">
        <v>19</v>
      </c>
      <c r="F182" t="s">
        <v>727</v>
      </c>
      <c r="G182" t="s">
        <v>728</v>
      </c>
      <c r="H182">
        <v>0</v>
      </c>
      <c r="I182">
        <v>250</v>
      </c>
      <c r="J182">
        <v>0</v>
      </c>
      <c r="K182">
        <v>0</v>
      </c>
      <c r="L182">
        <v>0</v>
      </c>
      <c r="M182">
        <v>250</v>
      </c>
      <c r="N182">
        <v>0</v>
      </c>
      <c r="O182">
        <v>0</v>
      </c>
    </row>
    <row r="183" spans="1:15" x14ac:dyDescent="0.3">
      <c r="A183" t="s">
        <v>26</v>
      </c>
      <c r="B183" t="s">
        <v>729</v>
      </c>
      <c r="C183" t="s">
        <v>730</v>
      </c>
      <c r="D183" t="s">
        <v>18</v>
      </c>
      <c r="E183" t="s">
        <v>19</v>
      </c>
      <c r="F183" t="s">
        <v>731</v>
      </c>
      <c r="G183" t="s">
        <v>732</v>
      </c>
      <c r="H183">
        <v>0</v>
      </c>
      <c r="I183">
        <v>5634</v>
      </c>
      <c r="J183">
        <v>0</v>
      </c>
      <c r="K183">
        <v>0</v>
      </c>
      <c r="L183">
        <v>0</v>
      </c>
      <c r="M183">
        <v>5349</v>
      </c>
      <c r="N183">
        <v>245</v>
      </c>
      <c r="O183">
        <v>0</v>
      </c>
    </row>
    <row r="184" spans="1:15" x14ac:dyDescent="0.3">
      <c r="A184" t="s">
        <v>26</v>
      </c>
      <c r="B184" t="s">
        <v>733</v>
      </c>
      <c r="C184" t="s">
        <v>734</v>
      </c>
      <c r="D184" t="s">
        <v>18</v>
      </c>
      <c r="E184" t="s">
        <v>19</v>
      </c>
      <c r="F184" t="s">
        <v>735</v>
      </c>
      <c r="G184" t="s">
        <v>736</v>
      </c>
      <c r="H184">
        <v>0</v>
      </c>
      <c r="I184">
        <v>250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3">
      <c r="A185" t="s">
        <v>26</v>
      </c>
      <c r="B185" t="s">
        <v>737</v>
      </c>
      <c r="C185" t="s">
        <v>738</v>
      </c>
      <c r="D185" t="s">
        <v>18</v>
      </c>
      <c r="E185" t="s">
        <v>19</v>
      </c>
      <c r="F185" t="s">
        <v>739</v>
      </c>
      <c r="G185" t="s">
        <v>740</v>
      </c>
      <c r="H185">
        <v>1515</v>
      </c>
      <c r="I185">
        <v>1502</v>
      </c>
      <c r="J185">
        <v>2123</v>
      </c>
      <c r="K185">
        <v>1313</v>
      </c>
      <c r="L185">
        <v>3000</v>
      </c>
      <c r="M185">
        <v>463</v>
      </c>
      <c r="N185">
        <v>0</v>
      </c>
      <c r="O185">
        <v>0</v>
      </c>
    </row>
    <row r="186" spans="1:15" x14ac:dyDescent="0.3">
      <c r="A186" t="s">
        <v>26</v>
      </c>
      <c r="B186" t="s">
        <v>741</v>
      </c>
      <c r="C186" t="s">
        <v>742</v>
      </c>
      <c r="D186" t="s">
        <v>18</v>
      </c>
      <c r="E186" t="s">
        <v>19</v>
      </c>
      <c r="F186" t="s">
        <v>743</v>
      </c>
      <c r="G186" t="s">
        <v>744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3">
      <c r="A187" t="s">
        <v>26</v>
      </c>
      <c r="B187" t="s">
        <v>745</v>
      </c>
      <c r="C187" t="s">
        <v>746</v>
      </c>
      <c r="D187" t="s">
        <v>18</v>
      </c>
      <c r="E187" t="s">
        <v>19</v>
      </c>
      <c r="F187" t="s">
        <v>747</v>
      </c>
      <c r="G187" t="s">
        <v>748</v>
      </c>
      <c r="H187">
        <v>0</v>
      </c>
      <c r="I187">
        <v>1465</v>
      </c>
      <c r="J187">
        <v>720</v>
      </c>
      <c r="K187">
        <v>0</v>
      </c>
      <c r="L187">
        <v>0</v>
      </c>
      <c r="M187">
        <v>1097</v>
      </c>
      <c r="N187">
        <v>0</v>
      </c>
      <c r="O187">
        <v>0</v>
      </c>
    </row>
    <row r="188" spans="1:15" x14ac:dyDescent="0.3">
      <c r="A188" t="s">
        <v>26</v>
      </c>
      <c r="B188" t="s">
        <v>749</v>
      </c>
      <c r="C188" t="s">
        <v>750</v>
      </c>
      <c r="D188" t="s">
        <v>18</v>
      </c>
      <c r="E188" t="s">
        <v>19</v>
      </c>
      <c r="F188" t="s">
        <v>751</v>
      </c>
      <c r="G188" t="s">
        <v>752</v>
      </c>
      <c r="H188">
        <v>0</v>
      </c>
      <c r="I188">
        <v>250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3">
      <c r="A189" t="s">
        <v>26</v>
      </c>
      <c r="B189" t="s">
        <v>753</v>
      </c>
      <c r="C189" t="s">
        <v>754</v>
      </c>
      <c r="D189" t="s">
        <v>18</v>
      </c>
      <c r="E189" t="s">
        <v>19</v>
      </c>
      <c r="F189" t="s">
        <v>755</v>
      </c>
      <c r="G189" t="s">
        <v>756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3">
      <c r="A190" t="s">
        <v>26</v>
      </c>
      <c r="B190" t="s">
        <v>757</v>
      </c>
      <c r="C190" t="s">
        <v>758</v>
      </c>
      <c r="D190" t="s">
        <v>18</v>
      </c>
      <c r="E190" t="s">
        <v>19</v>
      </c>
      <c r="F190" t="s">
        <v>759</v>
      </c>
      <c r="G190" t="s">
        <v>760</v>
      </c>
      <c r="H190">
        <v>342</v>
      </c>
      <c r="I190">
        <v>8703</v>
      </c>
      <c r="J190">
        <v>16903</v>
      </c>
      <c r="K190">
        <v>1340</v>
      </c>
      <c r="L190">
        <v>0</v>
      </c>
      <c r="M190">
        <v>8419</v>
      </c>
      <c r="N190">
        <v>1305</v>
      </c>
      <c r="O190">
        <v>0</v>
      </c>
    </row>
    <row r="191" spans="1:15" x14ac:dyDescent="0.3">
      <c r="A191" t="s">
        <v>26</v>
      </c>
      <c r="B191" t="s">
        <v>761</v>
      </c>
      <c r="C191" t="s">
        <v>762</v>
      </c>
      <c r="D191" t="s">
        <v>18</v>
      </c>
      <c r="E191" t="s">
        <v>19</v>
      </c>
      <c r="F191" t="s">
        <v>763</v>
      </c>
      <c r="G191" t="s">
        <v>764</v>
      </c>
      <c r="H191">
        <v>0</v>
      </c>
      <c r="I191">
        <v>2232</v>
      </c>
      <c r="J191">
        <v>0</v>
      </c>
      <c r="K191">
        <v>0</v>
      </c>
      <c r="L191">
        <v>0</v>
      </c>
      <c r="M191">
        <v>2232</v>
      </c>
      <c r="N191">
        <v>0</v>
      </c>
      <c r="O191">
        <v>0</v>
      </c>
    </row>
    <row r="192" spans="1:15" x14ac:dyDescent="0.3">
      <c r="A192" t="s">
        <v>26</v>
      </c>
      <c r="B192" t="s">
        <v>765</v>
      </c>
      <c r="C192" t="s">
        <v>766</v>
      </c>
      <c r="D192" t="s">
        <v>18</v>
      </c>
      <c r="E192" t="s">
        <v>19</v>
      </c>
      <c r="F192" t="s">
        <v>767</v>
      </c>
      <c r="G192" t="s">
        <v>768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3">
      <c r="A193" t="s">
        <v>26</v>
      </c>
      <c r="B193" t="s">
        <v>769</v>
      </c>
      <c r="C193" t="s">
        <v>770</v>
      </c>
      <c r="D193" t="s">
        <v>18</v>
      </c>
      <c r="E193" t="s">
        <v>19</v>
      </c>
      <c r="F193" t="s">
        <v>771</v>
      </c>
      <c r="G193" t="s">
        <v>772</v>
      </c>
      <c r="H193">
        <v>0</v>
      </c>
      <c r="I193">
        <v>572</v>
      </c>
      <c r="J193">
        <v>0</v>
      </c>
      <c r="K193">
        <v>0</v>
      </c>
      <c r="L193">
        <v>0</v>
      </c>
      <c r="M193">
        <v>250</v>
      </c>
      <c r="N193">
        <v>0</v>
      </c>
      <c r="O193">
        <v>0</v>
      </c>
    </row>
    <row r="194" spans="1:15" x14ac:dyDescent="0.3">
      <c r="A194" t="s">
        <v>26</v>
      </c>
      <c r="B194" t="s">
        <v>773</v>
      </c>
      <c r="C194" t="s">
        <v>774</v>
      </c>
      <c r="D194" t="s">
        <v>18</v>
      </c>
      <c r="E194" t="s">
        <v>19</v>
      </c>
      <c r="F194" t="s">
        <v>775</v>
      </c>
      <c r="G194" t="s">
        <v>776</v>
      </c>
      <c r="H194">
        <v>0</v>
      </c>
      <c r="I194">
        <v>250</v>
      </c>
      <c r="J194">
        <v>0</v>
      </c>
      <c r="K194">
        <v>0</v>
      </c>
      <c r="L194">
        <v>0</v>
      </c>
      <c r="M194">
        <v>250</v>
      </c>
      <c r="N194">
        <v>0</v>
      </c>
      <c r="O194">
        <v>0</v>
      </c>
    </row>
    <row r="195" spans="1:15" x14ac:dyDescent="0.3">
      <c r="A195" t="s">
        <v>26</v>
      </c>
      <c r="B195" t="s">
        <v>777</v>
      </c>
      <c r="C195" t="s">
        <v>778</v>
      </c>
      <c r="D195" t="s">
        <v>18</v>
      </c>
      <c r="E195" t="s">
        <v>19</v>
      </c>
      <c r="F195" t="s">
        <v>779</v>
      </c>
      <c r="G195" t="s">
        <v>780</v>
      </c>
      <c r="H195">
        <v>0</v>
      </c>
      <c r="I195">
        <v>250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3">
      <c r="A196" t="s">
        <v>26</v>
      </c>
      <c r="B196" t="s">
        <v>781</v>
      </c>
      <c r="C196" t="s">
        <v>782</v>
      </c>
      <c r="D196" t="s">
        <v>18</v>
      </c>
      <c r="E196" t="s">
        <v>19</v>
      </c>
      <c r="F196" t="s">
        <v>783</v>
      </c>
      <c r="G196" t="s">
        <v>784</v>
      </c>
      <c r="H196">
        <v>0</v>
      </c>
      <c r="I196">
        <v>480</v>
      </c>
      <c r="J196">
        <v>0</v>
      </c>
      <c r="K196">
        <v>0</v>
      </c>
      <c r="L196">
        <v>0</v>
      </c>
      <c r="M196">
        <v>480</v>
      </c>
      <c r="N196">
        <v>0</v>
      </c>
      <c r="O196">
        <v>0</v>
      </c>
    </row>
    <row r="197" spans="1:15" x14ac:dyDescent="0.3">
      <c r="A197" t="s">
        <v>26</v>
      </c>
      <c r="B197" t="s">
        <v>785</v>
      </c>
      <c r="C197" t="s">
        <v>786</v>
      </c>
      <c r="D197" t="s">
        <v>18</v>
      </c>
      <c r="E197" t="s">
        <v>19</v>
      </c>
      <c r="F197" t="s">
        <v>787</v>
      </c>
      <c r="G197">
        <f>254722710546 / 254202069226</f>
        <v>1.002048139582755</v>
      </c>
      <c r="H197">
        <v>0</v>
      </c>
      <c r="I197">
        <v>250</v>
      </c>
      <c r="J197">
        <v>0</v>
      </c>
      <c r="K197">
        <v>0</v>
      </c>
      <c r="L197">
        <v>0</v>
      </c>
      <c r="M197">
        <v>250</v>
      </c>
      <c r="N197">
        <v>0</v>
      </c>
      <c r="O197">
        <v>0</v>
      </c>
    </row>
    <row r="198" spans="1:15" x14ac:dyDescent="0.3">
      <c r="A198" t="s">
        <v>26</v>
      </c>
      <c r="B198" t="s">
        <v>788</v>
      </c>
      <c r="C198" t="s">
        <v>789</v>
      </c>
      <c r="D198" t="s">
        <v>18</v>
      </c>
      <c r="E198" t="s">
        <v>19</v>
      </c>
      <c r="F198" t="s">
        <v>790</v>
      </c>
      <c r="G198" t="s">
        <v>791</v>
      </c>
      <c r="H198">
        <v>0</v>
      </c>
      <c r="I198">
        <v>250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3">
      <c r="A199" t="s">
        <v>26</v>
      </c>
      <c r="B199" t="s">
        <v>792</v>
      </c>
      <c r="C199" t="s">
        <v>793</v>
      </c>
      <c r="D199" t="s">
        <v>18</v>
      </c>
      <c r="E199" t="s">
        <v>19</v>
      </c>
      <c r="F199" t="s">
        <v>794</v>
      </c>
      <c r="G199" t="s">
        <v>795</v>
      </c>
      <c r="H199">
        <v>1299</v>
      </c>
      <c r="I199">
        <v>1270</v>
      </c>
      <c r="J199">
        <v>306</v>
      </c>
      <c r="K199">
        <v>960</v>
      </c>
      <c r="L199">
        <v>0</v>
      </c>
      <c r="M199">
        <v>568</v>
      </c>
      <c r="N199">
        <v>0</v>
      </c>
      <c r="O199">
        <v>0</v>
      </c>
    </row>
    <row r="200" spans="1:15" x14ac:dyDescent="0.3">
      <c r="A200" t="s">
        <v>26</v>
      </c>
      <c r="B200" t="s">
        <v>796</v>
      </c>
      <c r="C200" t="s">
        <v>797</v>
      </c>
      <c r="D200" t="s">
        <v>18</v>
      </c>
      <c r="E200" t="s">
        <v>19</v>
      </c>
      <c r="F200" t="s">
        <v>798</v>
      </c>
      <c r="G200" t="s">
        <v>799</v>
      </c>
      <c r="H200">
        <v>0</v>
      </c>
      <c r="I200">
        <v>250</v>
      </c>
      <c r="J200">
        <v>0</v>
      </c>
      <c r="K200">
        <v>0</v>
      </c>
      <c r="L200">
        <v>0</v>
      </c>
      <c r="M200">
        <v>250</v>
      </c>
      <c r="N200">
        <v>0</v>
      </c>
      <c r="O200">
        <v>0</v>
      </c>
    </row>
    <row r="201" spans="1:15" x14ac:dyDescent="0.3">
      <c r="A201" t="s">
        <v>26</v>
      </c>
      <c r="B201" t="s">
        <v>800</v>
      </c>
      <c r="C201" t="s">
        <v>801</v>
      </c>
      <c r="D201" t="s">
        <v>18</v>
      </c>
      <c r="E201" t="s">
        <v>19</v>
      </c>
      <c r="F201" t="s">
        <v>802</v>
      </c>
      <c r="G201" t="s">
        <v>803</v>
      </c>
      <c r="H201">
        <v>0</v>
      </c>
      <c r="I201">
        <v>250</v>
      </c>
      <c r="J201">
        <v>0</v>
      </c>
      <c r="K201">
        <v>0</v>
      </c>
      <c r="L201">
        <v>0</v>
      </c>
      <c r="M201">
        <v>250</v>
      </c>
      <c r="N201">
        <v>0</v>
      </c>
      <c r="O201">
        <v>0</v>
      </c>
    </row>
    <row r="202" spans="1:15" x14ac:dyDescent="0.3">
      <c r="A202" t="s">
        <v>26</v>
      </c>
      <c r="B202" t="s">
        <v>804</v>
      </c>
      <c r="C202" t="s">
        <v>805</v>
      </c>
      <c r="D202" t="s">
        <v>18</v>
      </c>
      <c r="E202" t="s">
        <v>19</v>
      </c>
      <c r="F202" t="s">
        <v>806</v>
      </c>
      <c r="G202" t="s">
        <v>807</v>
      </c>
      <c r="H202">
        <v>0</v>
      </c>
      <c r="I202">
        <v>250</v>
      </c>
      <c r="J202">
        <v>0</v>
      </c>
      <c r="K202">
        <v>0</v>
      </c>
      <c r="L202">
        <v>0</v>
      </c>
      <c r="M202">
        <v>250</v>
      </c>
      <c r="N202">
        <v>0</v>
      </c>
      <c r="O202">
        <v>0</v>
      </c>
    </row>
    <row r="203" spans="1:15" x14ac:dyDescent="0.3">
      <c r="A203" t="s">
        <v>26</v>
      </c>
      <c r="B203" t="s">
        <v>808</v>
      </c>
      <c r="C203" t="s">
        <v>809</v>
      </c>
      <c r="D203" t="s">
        <v>18</v>
      </c>
      <c r="E203" t="s">
        <v>19</v>
      </c>
      <c r="F203" t="s">
        <v>810</v>
      </c>
      <c r="G203">
        <f>254733936277 / 254733936277</f>
        <v>1</v>
      </c>
      <c r="H203">
        <v>0</v>
      </c>
      <c r="I203">
        <v>364</v>
      </c>
      <c r="J203">
        <v>193</v>
      </c>
      <c r="K203">
        <v>0</v>
      </c>
      <c r="L203">
        <v>600</v>
      </c>
      <c r="M203">
        <v>364</v>
      </c>
      <c r="N203">
        <v>142</v>
      </c>
      <c r="O203">
        <v>0</v>
      </c>
    </row>
    <row r="204" spans="1:15" x14ac:dyDescent="0.3">
      <c r="A204" t="s">
        <v>26</v>
      </c>
      <c r="B204" t="s">
        <v>811</v>
      </c>
      <c r="C204" t="s">
        <v>812</v>
      </c>
      <c r="D204" t="s">
        <v>18</v>
      </c>
      <c r="E204" t="s">
        <v>19</v>
      </c>
      <c r="F204" t="s">
        <v>813</v>
      </c>
      <c r="G204" t="s">
        <v>814</v>
      </c>
      <c r="H204">
        <v>0</v>
      </c>
      <c r="I204">
        <v>250</v>
      </c>
      <c r="J204">
        <v>0</v>
      </c>
      <c r="K204">
        <v>0</v>
      </c>
      <c r="L204">
        <v>0</v>
      </c>
      <c r="M204">
        <v>250</v>
      </c>
      <c r="N204">
        <v>0</v>
      </c>
      <c r="O204">
        <v>0</v>
      </c>
    </row>
    <row r="205" spans="1:15" x14ac:dyDescent="0.3">
      <c r="A205" t="s">
        <v>26</v>
      </c>
      <c r="B205" t="s">
        <v>815</v>
      </c>
      <c r="C205" t="s">
        <v>816</v>
      </c>
      <c r="D205" t="s">
        <v>18</v>
      </c>
      <c r="E205" t="s">
        <v>19</v>
      </c>
      <c r="F205" t="s">
        <v>817</v>
      </c>
      <c r="G205" t="s">
        <v>818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3">
      <c r="A206" t="s">
        <v>26</v>
      </c>
      <c r="B206" t="s">
        <v>819</v>
      </c>
      <c r="C206" t="s">
        <v>820</v>
      </c>
      <c r="D206" t="s">
        <v>18</v>
      </c>
      <c r="E206" t="s">
        <v>19</v>
      </c>
      <c r="F206" t="s">
        <v>821</v>
      </c>
      <c r="G206" t="s">
        <v>822</v>
      </c>
      <c r="H206">
        <v>0</v>
      </c>
      <c r="I206">
        <v>250</v>
      </c>
      <c r="J206">
        <v>0</v>
      </c>
      <c r="K206">
        <v>0</v>
      </c>
      <c r="L206">
        <v>0</v>
      </c>
      <c r="M206">
        <v>250</v>
      </c>
      <c r="N206">
        <v>0</v>
      </c>
      <c r="O206">
        <v>0</v>
      </c>
    </row>
    <row r="207" spans="1:15" x14ac:dyDescent="0.3">
      <c r="A207" t="s">
        <v>26</v>
      </c>
      <c r="B207" t="s">
        <v>823</v>
      </c>
      <c r="C207" t="s">
        <v>824</v>
      </c>
      <c r="D207" t="s">
        <v>18</v>
      </c>
      <c r="E207" t="s">
        <v>19</v>
      </c>
      <c r="F207" t="s">
        <v>825</v>
      </c>
      <c r="G207" t="s">
        <v>826</v>
      </c>
      <c r="H207">
        <v>0</v>
      </c>
      <c r="I207">
        <v>5670</v>
      </c>
      <c r="J207">
        <v>3620</v>
      </c>
      <c r="K207">
        <v>0</v>
      </c>
      <c r="L207">
        <v>0</v>
      </c>
      <c r="M207">
        <v>5670</v>
      </c>
      <c r="N207">
        <v>0</v>
      </c>
      <c r="O207">
        <v>0</v>
      </c>
    </row>
    <row r="208" spans="1:15" x14ac:dyDescent="0.3">
      <c r="A208" t="s">
        <v>26</v>
      </c>
      <c r="B208" t="s">
        <v>827</v>
      </c>
      <c r="C208" t="s">
        <v>828</v>
      </c>
      <c r="D208" t="s">
        <v>18</v>
      </c>
      <c r="E208" t="s">
        <v>19</v>
      </c>
      <c r="F208" t="s">
        <v>829</v>
      </c>
      <c r="G208" t="s">
        <v>830</v>
      </c>
      <c r="H208">
        <v>0</v>
      </c>
      <c r="I208">
        <v>250</v>
      </c>
      <c r="J208">
        <v>0</v>
      </c>
      <c r="K208">
        <v>0</v>
      </c>
      <c r="L208">
        <v>0</v>
      </c>
      <c r="M208">
        <v>250</v>
      </c>
      <c r="N208">
        <v>0</v>
      </c>
      <c r="O208">
        <v>0</v>
      </c>
    </row>
    <row r="209" spans="1:15" x14ac:dyDescent="0.3">
      <c r="A209" t="s">
        <v>26</v>
      </c>
      <c r="B209" t="s">
        <v>831</v>
      </c>
      <c r="C209" t="s">
        <v>828</v>
      </c>
      <c r="D209" t="s">
        <v>18</v>
      </c>
      <c r="E209" t="s">
        <v>19</v>
      </c>
      <c r="F209" t="s">
        <v>832</v>
      </c>
      <c r="G209" t="s">
        <v>833</v>
      </c>
      <c r="H209">
        <v>0</v>
      </c>
      <c r="I209">
        <v>4896</v>
      </c>
      <c r="J209">
        <v>1930</v>
      </c>
      <c r="K209">
        <v>0</v>
      </c>
      <c r="L209">
        <v>10150</v>
      </c>
      <c r="M209">
        <v>27</v>
      </c>
      <c r="N209">
        <v>3342</v>
      </c>
      <c r="O209">
        <v>4200</v>
      </c>
    </row>
    <row r="210" spans="1:15" x14ac:dyDescent="0.3">
      <c r="A210" t="s">
        <v>26</v>
      </c>
      <c r="B210" t="s">
        <v>834</v>
      </c>
      <c r="C210" t="s">
        <v>835</v>
      </c>
      <c r="D210" t="s">
        <v>18</v>
      </c>
      <c r="E210" t="s">
        <v>19</v>
      </c>
      <c r="F210" t="s">
        <v>836</v>
      </c>
      <c r="G210" t="s">
        <v>837</v>
      </c>
      <c r="H210">
        <v>0</v>
      </c>
      <c r="I210">
        <v>250</v>
      </c>
      <c r="J210">
        <v>0</v>
      </c>
      <c r="K210">
        <v>0</v>
      </c>
      <c r="L210">
        <v>0</v>
      </c>
      <c r="M210">
        <v>250</v>
      </c>
      <c r="N210">
        <v>0</v>
      </c>
      <c r="O210">
        <v>0</v>
      </c>
    </row>
    <row r="211" spans="1:15" x14ac:dyDescent="0.3">
      <c r="A211" t="s">
        <v>26</v>
      </c>
      <c r="B211" t="s">
        <v>838</v>
      </c>
      <c r="C211" t="s">
        <v>839</v>
      </c>
      <c r="D211" t="s">
        <v>18</v>
      </c>
      <c r="E211" t="s">
        <v>19</v>
      </c>
      <c r="F211" t="s">
        <v>840</v>
      </c>
      <c r="G211" t="s">
        <v>841</v>
      </c>
      <c r="H211">
        <v>0</v>
      </c>
      <c r="I211">
        <v>250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3">
      <c r="A212" t="s">
        <v>26</v>
      </c>
      <c r="B212" t="s">
        <v>842</v>
      </c>
      <c r="C212" t="s">
        <v>843</v>
      </c>
      <c r="D212" t="s">
        <v>18</v>
      </c>
      <c r="E212" t="s">
        <v>19</v>
      </c>
      <c r="F212" t="s">
        <v>844</v>
      </c>
      <c r="G212" t="s">
        <v>845</v>
      </c>
      <c r="H212">
        <v>0</v>
      </c>
      <c r="I212">
        <v>250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3">
      <c r="A213" t="s">
        <v>26</v>
      </c>
      <c r="B213" t="s">
        <v>846</v>
      </c>
      <c r="C213" t="s">
        <v>847</v>
      </c>
      <c r="D213" t="s">
        <v>18</v>
      </c>
      <c r="E213" t="s">
        <v>19</v>
      </c>
      <c r="F213" t="s">
        <v>848</v>
      </c>
      <c r="G213" t="s">
        <v>849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3">
      <c r="A214" t="s">
        <v>26</v>
      </c>
      <c r="B214" t="s">
        <v>850</v>
      </c>
      <c r="C214" t="s">
        <v>851</v>
      </c>
      <c r="D214" t="s">
        <v>18</v>
      </c>
      <c r="E214" t="s">
        <v>19</v>
      </c>
      <c r="F214" t="s">
        <v>852</v>
      </c>
      <c r="G214" t="s">
        <v>853</v>
      </c>
      <c r="H214">
        <v>0</v>
      </c>
      <c r="I214">
        <v>250</v>
      </c>
      <c r="J214">
        <v>0</v>
      </c>
      <c r="K214">
        <v>0</v>
      </c>
      <c r="L214">
        <v>0</v>
      </c>
      <c r="M214">
        <v>250</v>
      </c>
      <c r="N214">
        <v>0</v>
      </c>
      <c r="O214">
        <v>0</v>
      </c>
    </row>
    <row r="215" spans="1:15" x14ac:dyDescent="0.3">
      <c r="A215" t="s">
        <v>26</v>
      </c>
      <c r="B215" t="s">
        <v>854</v>
      </c>
      <c r="C215" t="s">
        <v>855</v>
      </c>
      <c r="D215" t="s">
        <v>18</v>
      </c>
      <c r="E215" t="s">
        <v>19</v>
      </c>
      <c r="F215" t="s">
        <v>856</v>
      </c>
      <c r="G215" t="s">
        <v>857</v>
      </c>
      <c r="H215">
        <v>0</v>
      </c>
      <c r="I215">
        <v>250</v>
      </c>
      <c r="J215">
        <v>0</v>
      </c>
      <c r="K215">
        <v>0</v>
      </c>
      <c r="L215">
        <v>0</v>
      </c>
      <c r="M215">
        <v>250</v>
      </c>
      <c r="N215">
        <v>0</v>
      </c>
      <c r="O215">
        <v>0</v>
      </c>
    </row>
    <row r="216" spans="1:15" x14ac:dyDescent="0.3">
      <c r="A216" t="s">
        <v>26</v>
      </c>
      <c r="B216" t="s">
        <v>858</v>
      </c>
      <c r="C216" t="s">
        <v>859</v>
      </c>
      <c r="D216" t="s">
        <v>18</v>
      </c>
      <c r="E216" t="s">
        <v>19</v>
      </c>
      <c r="F216" t="s">
        <v>860</v>
      </c>
      <c r="G216" t="s">
        <v>861</v>
      </c>
      <c r="H216">
        <v>0</v>
      </c>
      <c r="I216">
        <v>250</v>
      </c>
      <c r="J216">
        <v>0</v>
      </c>
      <c r="K216">
        <v>0</v>
      </c>
      <c r="L216">
        <v>0</v>
      </c>
      <c r="M216">
        <v>250</v>
      </c>
      <c r="N216">
        <v>0</v>
      </c>
      <c r="O216">
        <v>0</v>
      </c>
    </row>
    <row r="217" spans="1:15" x14ac:dyDescent="0.3">
      <c r="A217" t="s">
        <v>26</v>
      </c>
      <c r="B217" t="s">
        <v>862</v>
      </c>
      <c r="C217" t="s">
        <v>863</v>
      </c>
      <c r="D217" t="s">
        <v>18</v>
      </c>
      <c r="E217" t="s">
        <v>19</v>
      </c>
      <c r="F217" t="s">
        <v>864</v>
      </c>
      <c r="G217" t="s">
        <v>865</v>
      </c>
      <c r="H217">
        <v>0</v>
      </c>
      <c r="I217">
        <v>250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3">
      <c r="A218" t="s">
        <v>26</v>
      </c>
      <c r="B218" t="s">
        <v>866</v>
      </c>
      <c r="C218" t="s">
        <v>867</v>
      </c>
      <c r="D218" t="s">
        <v>18</v>
      </c>
      <c r="E218" t="s">
        <v>19</v>
      </c>
      <c r="F218" t="s">
        <v>868</v>
      </c>
      <c r="G218" t="s">
        <v>869</v>
      </c>
      <c r="H218">
        <v>0</v>
      </c>
      <c r="I218">
        <v>625</v>
      </c>
      <c r="J218">
        <v>0</v>
      </c>
      <c r="K218">
        <v>383</v>
      </c>
      <c r="L218">
        <v>0</v>
      </c>
      <c r="M218">
        <v>625</v>
      </c>
      <c r="N218">
        <v>0</v>
      </c>
      <c r="O218">
        <v>0</v>
      </c>
    </row>
    <row r="219" spans="1:15" x14ac:dyDescent="0.3">
      <c r="A219" t="s">
        <v>26</v>
      </c>
      <c r="B219" t="s">
        <v>870</v>
      </c>
      <c r="C219" t="s">
        <v>871</v>
      </c>
      <c r="D219" t="s">
        <v>18</v>
      </c>
      <c r="E219" t="s">
        <v>19</v>
      </c>
      <c r="F219" t="s">
        <v>872</v>
      </c>
      <c r="G219" t="s">
        <v>873</v>
      </c>
      <c r="H219">
        <v>0</v>
      </c>
      <c r="I219">
        <v>1229</v>
      </c>
      <c r="J219">
        <v>0</v>
      </c>
      <c r="K219">
        <v>0</v>
      </c>
      <c r="L219">
        <v>0</v>
      </c>
      <c r="M219">
        <v>1229</v>
      </c>
      <c r="N219">
        <v>512</v>
      </c>
      <c r="O219">
        <v>0</v>
      </c>
    </row>
    <row r="220" spans="1:15" x14ac:dyDescent="0.3">
      <c r="A220" t="s">
        <v>26</v>
      </c>
      <c r="B220" t="s">
        <v>874</v>
      </c>
      <c r="C220" t="s">
        <v>875</v>
      </c>
      <c r="D220" t="s">
        <v>18</v>
      </c>
      <c r="E220" t="s">
        <v>19</v>
      </c>
      <c r="F220" t="s">
        <v>876</v>
      </c>
      <c r="G220" t="s">
        <v>877</v>
      </c>
      <c r="H220">
        <v>0</v>
      </c>
      <c r="I220">
        <v>250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3">
      <c r="A221" t="s">
        <v>26</v>
      </c>
      <c r="B221" t="s">
        <v>878</v>
      </c>
      <c r="C221" t="s">
        <v>879</v>
      </c>
      <c r="D221" t="s">
        <v>18</v>
      </c>
      <c r="E221" t="s">
        <v>19</v>
      </c>
      <c r="F221" t="s">
        <v>880</v>
      </c>
      <c r="G221" t="s">
        <v>881</v>
      </c>
      <c r="H221">
        <v>0</v>
      </c>
      <c r="I221">
        <v>3461</v>
      </c>
      <c r="J221">
        <v>308</v>
      </c>
      <c r="K221">
        <v>0</v>
      </c>
      <c r="L221">
        <v>0</v>
      </c>
      <c r="M221">
        <v>2776</v>
      </c>
      <c r="N221">
        <v>2526</v>
      </c>
      <c r="O221">
        <v>0</v>
      </c>
    </row>
    <row r="222" spans="1:15" x14ac:dyDescent="0.3">
      <c r="A222" t="s">
        <v>26</v>
      </c>
      <c r="B222" t="s">
        <v>882</v>
      </c>
      <c r="C222" t="s">
        <v>883</v>
      </c>
      <c r="D222" t="s">
        <v>18</v>
      </c>
      <c r="E222" t="s">
        <v>19</v>
      </c>
      <c r="F222" t="s">
        <v>884</v>
      </c>
      <c r="G222" t="s">
        <v>885</v>
      </c>
      <c r="H222">
        <v>230</v>
      </c>
      <c r="I222">
        <v>1519</v>
      </c>
      <c r="J222">
        <v>3340</v>
      </c>
      <c r="K222">
        <v>0</v>
      </c>
      <c r="L222">
        <v>1500</v>
      </c>
      <c r="M222">
        <v>657</v>
      </c>
      <c r="N222">
        <v>120</v>
      </c>
      <c r="O222">
        <v>0</v>
      </c>
    </row>
    <row r="223" spans="1:15" x14ac:dyDescent="0.3">
      <c r="A223" t="s">
        <v>26</v>
      </c>
      <c r="B223" t="s">
        <v>886</v>
      </c>
      <c r="C223" t="s">
        <v>887</v>
      </c>
      <c r="D223" t="s">
        <v>18</v>
      </c>
      <c r="E223" t="s">
        <v>19</v>
      </c>
      <c r="F223" t="s">
        <v>888</v>
      </c>
      <c r="G223" t="s">
        <v>889</v>
      </c>
      <c r="H223">
        <v>0</v>
      </c>
      <c r="I223">
        <v>250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3">
      <c r="A224" t="s">
        <v>26</v>
      </c>
      <c r="B224" t="s">
        <v>890</v>
      </c>
      <c r="C224" t="s">
        <v>891</v>
      </c>
      <c r="D224" t="s">
        <v>18</v>
      </c>
      <c r="E224" t="s">
        <v>19</v>
      </c>
      <c r="F224" t="s">
        <v>892</v>
      </c>
      <c r="G224" t="s">
        <v>893</v>
      </c>
      <c r="H224">
        <v>0</v>
      </c>
      <c r="I224">
        <v>250</v>
      </c>
      <c r="J224">
        <v>0</v>
      </c>
      <c r="K224">
        <v>0</v>
      </c>
      <c r="L224">
        <v>0</v>
      </c>
      <c r="M224">
        <v>250</v>
      </c>
      <c r="N224">
        <v>0</v>
      </c>
      <c r="O224">
        <v>0</v>
      </c>
    </row>
    <row r="225" spans="1:15" x14ac:dyDescent="0.3">
      <c r="A225" t="s">
        <v>26</v>
      </c>
      <c r="B225" t="s">
        <v>894</v>
      </c>
      <c r="C225" t="s">
        <v>895</v>
      </c>
      <c r="D225" t="s">
        <v>18</v>
      </c>
      <c r="E225" t="s">
        <v>19</v>
      </c>
      <c r="F225" t="s">
        <v>896</v>
      </c>
      <c r="G225" t="s">
        <v>897</v>
      </c>
      <c r="H225">
        <v>0</v>
      </c>
      <c r="I225">
        <v>250</v>
      </c>
      <c r="J225">
        <v>0</v>
      </c>
      <c r="K225">
        <v>0</v>
      </c>
      <c r="L225">
        <v>0</v>
      </c>
      <c r="M225">
        <v>250</v>
      </c>
      <c r="N225">
        <v>0</v>
      </c>
      <c r="O225">
        <v>0</v>
      </c>
    </row>
    <row r="226" spans="1:15" x14ac:dyDescent="0.3">
      <c r="A226" t="s">
        <v>26</v>
      </c>
      <c r="B226" t="s">
        <v>898</v>
      </c>
      <c r="C226" t="s">
        <v>899</v>
      </c>
      <c r="D226" t="s">
        <v>18</v>
      </c>
      <c r="E226" t="s">
        <v>19</v>
      </c>
      <c r="F226" t="s">
        <v>900</v>
      </c>
      <c r="G226" t="s">
        <v>901</v>
      </c>
      <c r="H226">
        <v>0</v>
      </c>
      <c r="I226">
        <v>250</v>
      </c>
      <c r="J226">
        <v>0</v>
      </c>
      <c r="K226">
        <v>0</v>
      </c>
      <c r="L226">
        <v>0</v>
      </c>
      <c r="M226">
        <v>250</v>
      </c>
      <c r="N226">
        <v>0</v>
      </c>
      <c r="O226">
        <v>0</v>
      </c>
    </row>
    <row r="227" spans="1:15" x14ac:dyDescent="0.3">
      <c r="A227" t="s">
        <v>26</v>
      </c>
      <c r="B227" t="s">
        <v>902</v>
      </c>
      <c r="C227" t="s">
        <v>903</v>
      </c>
      <c r="D227" t="s">
        <v>18</v>
      </c>
      <c r="E227" t="s">
        <v>19</v>
      </c>
      <c r="F227" t="s">
        <v>904</v>
      </c>
      <c r="G227" t="s">
        <v>905</v>
      </c>
      <c r="H227">
        <v>0</v>
      </c>
      <c r="I227">
        <v>250</v>
      </c>
      <c r="J227">
        <v>0</v>
      </c>
      <c r="K227">
        <v>0</v>
      </c>
      <c r="L227">
        <v>0</v>
      </c>
      <c r="M227">
        <v>250</v>
      </c>
      <c r="N227">
        <v>0</v>
      </c>
      <c r="O227">
        <v>0</v>
      </c>
    </row>
    <row r="228" spans="1:15" x14ac:dyDescent="0.3">
      <c r="A228" t="s">
        <v>26</v>
      </c>
      <c r="B228" t="s">
        <v>906</v>
      </c>
      <c r="C228" t="s">
        <v>907</v>
      </c>
      <c r="D228" t="s">
        <v>18</v>
      </c>
      <c r="E228" t="s">
        <v>19</v>
      </c>
      <c r="F228" t="s">
        <v>908</v>
      </c>
      <c r="G228" t="s">
        <v>909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3">
      <c r="A229" t="s">
        <v>26</v>
      </c>
      <c r="B229" t="s">
        <v>910</v>
      </c>
      <c r="C229" t="s">
        <v>911</v>
      </c>
      <c r="D229" t="s">
        <v>18</v>
      </c>
      <c r="E229" t="s">
        <v>19</v>
      </c>
      <c r="F229" t="s">
        <v>912</v>
      </c>
      <c r="G229" t="s">
        <v>913</v>
      </c>
      <c r="H229">
        <v>0</v>
      </c>
      <c r="I229">
        <v>250</v>
      </c>
      <c r="J229">
        <v>0</v>
      </c>
      <c r="K229">
        <v>0</v>
      </c>
      <c r="L229">
        <v>0</v>
      </c>
      <c r="M229">
        <v>250</v>
      </c>
      <c r="N229">
        <v>0</v>
      </c>
      <c r="O229">
        <v>0</v>
      </c>
    </row>
    <row r="230" spans="1:15" x14ac:dyDescent="0.3">
      <c r="A230" t="s">
        <v>26</v>
      </c>
      <c r="B230" t="s">
        <v>914</v>
      </c>
      <c r="C230" t="s">
        <v>915</v>
      </c>
      <c r="D230" t="s">
        <v>18</v>
      </c>
      <c r="E230" t="s">
        <v>19</v>
      </c>
      <c r="F230" t="s">
        <v>916</v>
      </c>
      <c r="G230" t="s">
        <v>917</v>
      </c>
      <c r="H230">
        <v>0</v>
      </c>
      <c r="I230">
        <v>250</v>
      </c>
      <c r="J230">
        <v>2400</v>
      </c>
      <c r="K230">
        <v>0</v>
      </c>
      <c r="L230">
        <v>0</v>
      </c>
      <c r="M230">
        <v>250</v>
      </c>
      <c r="N230">
        <v>0</v>
      </c>
      <c r="O230">
        <v>0</v>
      </c>
    </row>
    <row r="231" spans="1:15" x14ac:dyDescent="0.3">
      <c r="A231" t="s">
        <v>26</v>
      </c>
      <c r="B231" t="s">
        <v>918</v>
      </c>
      <c r="C231" t="s">
        <v>919</v>
      </c>
      <c r="D231" t="s">
        <v>18</v>
      </c>
      <c r="E231" t="s">
        <v>19</v>
      </c>
      <c r="F231" t="s">
        <v>920</v>
      </c>
      <c r="G231" t="s">
        <v>921</v>
      </c>
      <c r="H231">
        <v>0</v>
      </c>
      <c r="I231">
        <v>250</v>
      </c>
      <c r="J231">
        <v>0</v>
      </c>
      <c r="K231">
        <v>0</v>
      </c>
      <c r="L231">
        <v>0</v>
      </c>
      <c r="M231">
        <v>250</v>
      </c>
      <c r="N231">
        <v>0</v>
      </c>
      <c r="O231">
        <v>0</v>
      </c>
    </row>
    <row r="232" spans="1:15" x14ac:dyDescent="0.3">
      <c r="A232" t="s">
        <v>26</v>
      </c>
      <c r="B232" t="s">
        <v>922</v>
      </c>
      <c r="C232" t="s">
        <v>923</v>
      </c>
      <c r="D232" t="s">
        <v>18</v>
      </c>
      <c r="E232" t="s">
        <v>19</v>
      </c>
      <c r="F232" t="s">
        <v>924</v>
      </c>
      <c r="G232" t="s">
        <v>925</v>
      </c>
      <c r="H232">
        <v>0</v>
      </c>
      <c r="I232">
        <v>250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3">
      <c r="A233" t="s">
        <v>26</v>
      </c>
      <c r="B233" t="s">
        <v>926</v>
      </c>
      <c r="C233" t="s">
        <v>927</v>
      </c>
      <c r="D233" t="s">
        <v>18</v>
      </c>
      <c r="E233" t="s">
        <v>19</v>
      </c>
      <c r="F233" t="s">
        <v>928</v>
      </c>
      <c r="G233" t="s">
        <v>929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3">
      <c r="A234" t="s">
        <v>26</v>
      </c>
      <c r="B234" t="s">
        <v>930</v>
      </c>
      <c r="C234" t="s">
        <v>931</v>
      </c>
      <c r="D234" t="s">
        <v>18</v>
      </c>
      <c r="E234" t="s">
        <v>19</v>
      </c>
      <c r="F234" t="s">
        <v>932</v>
      </c>
      <c r="G234" t="s">
        <v>933</v>
      </c>
      <c r="H234">
        <v>859</v>
      </c>
      <c r="I234">
        <v>987</v>
      </c>
      <c r="J234">
        <v>2988</v>
      </c>
      <c r="K234">
        <v>954</v>
      </c>
      <c r="L234">
        <v>600</v>
      </c>
      <c r="M234">
        <v>651</v>
      </c>
      <c r="N234">
        <v>0</v>
      </c>
      <c r="O234">
        <v>0</v>
      </c>
    </row>
    <row r="235" spans="1:15" x14ac:dyDescent="0.3">
      <c r="A235" t="s">
        <v>26</v>
      </c>
      <c r="B235" t="s">
        <v>934</v>
      </c>
      <c r="C235" t="s">
        <v>935</v>
      </c>
      <c r="D235" t="s">
        <v>18</v>
      </c>
      <c r="E235" t="s">
        <v>19</v>
      </c>
      <c r="F235" t="s">
        <v>936</v>
      </c>
      <c r="G235" t="s">
        <v>937</v>
      </c>
      <c r="H235">
        <v>0</v>
      </c>
      <c r="I235">
        <v>250</v>
      </c>
      <c r="J235">
        <v>0</v>
      </c>
      <c r="K235">
        <v>0</v>
      </c>
      <c r="L235">
        <v>0</v>
      </c>
      <c r="M235">
        <v>250</v>
      </c>
      <c r="N235">
        <v>0</v>
      </c>
      <c r="O235">
        <v>0</v>
      </c>
    </row>
    <row r="236" spans="1:15" x14ac:dyDescent="0.3">
      <c r="A236" t="s">
        <v>26</v>
      </c>
      <c r="B236" t="s">
        <v>938</v>
      </c>
      <c r="C236" t="s">
        <v>939</v>
      </c>
      <c r="D236" t="s">
        <v>18</v>
      </c>
      <c r="E236" t="s">
        <v>19</v>
      </c>
      <c r="F236" t="s">
        <v>940</v>
      </c>
      <c r="G236" t="s">
        <v>941</v>
      </c>
      <c r="H236">
        <v>0</v>
      </c>
      <c r="I236">
        <v>250</v>
      </c>
      <c r="J236">
        <v>0</v>
      </c>
      <c r="K236">
        <v>0</v>
      </c>
      <c r="L236">
        <v>0</v>
      </c>
      <c r="M236">
        <v>250</v>
      </c>
      <c r="N236">
        <v>0</v>
      </c>
      <c r="O236">
        <v>0</v>
      </c>
    </row>
    <row r="237" spans="1:15" x14ac:dyDescent="0.3">
      <c r="A237" t="s">
        <v>26</v>
      </c>
      <c r="B237" t="s">
        <v>942</v>
      </c>
      <c r="C237" t="s">
        <v>943</v>
      </c>
      <c r="D237" t="s">
        <v>18</v>
      </c>
      <c r="E237" t="s">
        <v>19</v>
      </c>
      <c r="F237" t="s">
        <v>944</v>
      </c>
      <c r="G237" t="s">
        <v>945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3">
      <c r="A238" t="s">
        <v>26</v>
      </c>
      <c r="B238" t="s">
        <v>946</v>
      </c>
      <c r="C238" t="s">
        <v>947</v>
      </c>
      <c r="D238" t="s">
        <v>18</v>
      </c>
      <c r="E238" t="s">
        <v>19</v>
      </c>
      <c r="F238" t="s">
        <v>948</v>
      </c>
      <c r="G238" t="s">
        <v>949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3">
      <c r="A239" t="s">
        <v>26</v>
      </c>
      <c r="B239" t="s">
        <v>950</v>
      </c>
      <c r="C239" t="s">
        <v>951</v>
      </c>
      <c r="D239" t="s">
        <v>18</v>
      </c>
      <c r="E239" t="s">
        <v>19</v>
      </c>
      <c r="F239" t="s">
        <v>952</v>
      </c>
      <c r="G239" t="s">
        <v>953</v>
      </c>
      <c r="H239">
        <v>0</v>
      </c>
      <c r="I239">
        <v>250</v>
      </c>
      <c r="J239">
        <v>0</v>
      </c>
      <c r="K239">
        <v>0</v>
      </c>
      <c r="L239">
        <v>0</v>
      </c>
      <c r="M239">
        <v>250</v>
      </c>
      <c r="N239">
        <v>0</v>
      </c>
      <c r="O239">
        <v>0</v>
      </c>
    </row>
    <row r="240" spans="1:15" x14ac:dyDescent="0.3">
      <c r="A240" t="s">
        <v>26</v>
      </c>
      <c r="B240" t="s">
        <v>954</v>
      </c>
      <c r="C240" t="s">
        <v>955</v>
      </c>
      <c r="D240" t="s">
        <v>18</v>
      </c>
      <c r="E240" t="s">
        <v>19</v>
      </c>
      <c r="F240" t="s">
        <v>956</v>
      </c>
      <c r="G240" t="s">
        <v>957</v>
      </c>
      <c r="H240">
        <v>0</v>
      </c>
      <c r="I240">
        <v>250</v>
      </c>
      <c r="J240">
        <v>0</v>
      </c>
      <c r="K240">
        <v>0</v>
      </c>
      <c r="L240">
        <v>0</v>
      </c>
      <c r="M240">
        <v>250</v>
      </c>
      <c r="N240">
        <v>0</v>
      </c>
      <c r="O240">
        <v>0</v>
      </c>
    </row>
    <row r="241" spans="1:15" x14ac:dyDescent="0.3">
      <c r="A241" t="s">
        <v>26</v>
      </c>
      <c r="B241" t="s">
        <v>958</v>
      </c>
      <c r="C241" t="s">
        <v>959</v>
      </c>
      <c r="D241" t="s">
        <v>18</v>
      </c>
      <c r="E241" t="s">
        <v>19</v>
      </c>
      <c r="F241" t="s">
        <v>960</v>
      </c>
      <c r="G241" t="s">
        <v>961</v>
      </c>
      <c r="H241">
        <v>0</v>
      </c>
      <c r="I241">
        <v>250</v>
      </c>
      <c r="J241">
        <v>7456</v>
      </c>
      <c r="K241">
        <v>0</v>
      </c>
      <c r="L241">
        <v>0</v>
      </c>
      <c r="M241">
        <v>250</v>
      </c>
      <c r="N241">
        <v>0</v>
      </c>
      <c r="O241">
        <v>0</v>
      </c>
    </row>
    <row r="242" spans="1:15" x14ac:dyDescent="0.3">
      <c r="A242" t="s">
        <v>26</v>
      </c>
      <c r="B242" t="s">
        <v>962</v>
      </c>
      <c r="C242" t="s">
        <v>963</v>
      </c>
      <c r="D242" t="s">
        <v>18</v>
      </c>
      <c r="E242" t="s">
        <v>19</v>
      </c>
      <c r="F242" t="s">
        <v>964</v>
      </c>
      <c r="G242">
        <f>254726366667 / 254726366667</f>
        <v>1</v>
      </c>
      <c r="H242">
        <v>0</v>
      </c>
      <c r="I242">
        <v>250</v>
      </c>
      <c r="J242">
        <v>0</v>
      </c>
      <c r="K242">
        <v>0</v>
      </c>
      <c r="L242">
        <v>0</v>
      </c>
      <c r="M242">
        <v>250</v>
      </c>
      <c r="N242">
        <v>0</v>
      </c>
      <c r="O242">
        <v>0</v>
      </c>
    </row>
    <row r="243" spans="1:15" x14ac:dyDescent="0.3">
      <c r="A243" t="s">
        <v>26</v>
      </c>
      <c r="B243" t="s">
        <v>965</v>
      </c>
      <c r="C243" t="s">
        <v>966</v>
      </c>
      <c r="D243" t="s">
        <v>18</v>
      </c>
      <c r="E243" t="s">
        <v>19</v>
      </c>
      <c r="F243" t="s">
        <v>967</v>
      </c>
      <c r="G243" t="s">
        <v>968</v>
      </c>
      <c r="H243">
        <v>0</v>
      </c>
      <c r="I243">
        <v>2966</v>
      </c>
      <c r="J243">
        <v>566</v>
      </c>
      <c r="K243">
        <v>0</v>
      </c>
      <c r="L243">
        <v>0</v>
      </c>
      <c r="M243">
        <v>892</v>
      </c>
      <c r="N243">
        <v>902</v>
      </c>
      <c r="O243">
        <v>1800</v>
      </c>
    </row>
    <row r="244" spans="1:15" x14ac:dyDescent="0.3">
      <c r="A244" t="s">
        <v>26</v>
      </c>
      <c r="B244" t="s">
        <v>969</v>
      </c>
      <c r="C244" t="s">
        <v>970</v>
      </c>
      <c r="D244" t="s">
        <v>18</v>
      </c>
      <c r="E244" t="s">
        <v>19</v>
      </c>
      <c r="F244" t="s">
        <v>971</v>
      </c>
      <c r="G244" t="s">
        <v>972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3">
      <c r="A245" t="s">
        <v>26</v>
      </c>
      <c r="B245" t="s">
        <v>973</v>
      </c>
      <c r="C245" t="s">
        <v>974</v>
      </c>
      <c r="D245" t="s">
        <v>18</v>
      </c>
      <c r="E245" t="s">
        <v>19</v>
      </c>
      <c r="F245" t="s">
        <v>975</v>
      </c>
      <c r="G245" t="s">
        <v>976</v>
      </c>
      <c r="H245">
        <v>0</v>
      </c>
      <c r="I245">
        <v>250</v>
      </c>
      <c r="J245">
        <v>0</v>
      </c>
      <c r="K245">
        <v>0</v>
      </c>
      <c r="L245">
        <v>0</v>
      </c>
      <c r="M245">
        <v>250</v>
      </c>
      <c r="N245">
        <v>0</v>
      </c>
      <c r="O245">
        <v>0</v>
      </c>
    </row>
    <row r="246" spans="1:15" x14ac:dyDescent="0.3">
      <c r="A246" t="s">
        <v>26</v>
      </c>
      <c r="B246" t="s">
        <v>977</v>
      </c>
      <c r="C246" t="s">
        <v>978</v>
      </c>
      <c r="D246" t="s">
        <v>18</v>
      </c>
      <c r="E246" t="s">
        <v>19</v>
      </c>
      <c r="F246" t="s">
        <v>979</v>
      </c>
      <c r="G246" t="s">
        <v>980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3">
      <c r="A247" t="s">
        <v>26</v>
      </c>
      <c r="B247" t="s">
        <v>981</v>
      </c>
      <c r="C247" t="s">
        <v>982</v>
      </c>
      <c r="D247" t="s">
        <v>18</v>
      </c>
      <c r="E247" t="s">
        <v>19</v>
      </c>
      <c r="F247" t="s">
        <v>983</v>
      </c>
      <c r="G247" t="s">
        <v>984</v>
      </c>
      <c r="H247">
        <v>0</v>
      </c>
      <c r="I247">
        <v>546</v>
      </c>
      <c r="J247">
        <v>1754</v>
      </c>
      <c r="K247">
        <v>2029</v>
      </c>
      <c r="L247">
        <v>0</v>
      </c>
      <c r="M247">
        <v>546</v>
      </c>
      <c r="N247">
        <v>296</v>
      </c>
      <c r="O247">
        <v>0</v>
      </c>
    </row>
    <row r="248" spans="1:15" x14ac:dyDescent="0.3">
      <c r="A248" t="s">
        <v>26</v>
      </c>
      <c r="B248" t="s">
        <v>985</v>
      </c>
      <c r="C248" t="s">
        <v>986</v>
      </c>
      <c r="D248" t="s">
        <v>18</v>
      </c>
      <c r="E248" t="s">
        <v>19</v>
      </c>
      <c r="F248" t="s">
        <v>987</v>
      </c>
      <c r="G248" t="s">
        <v>988</v>
      </c>
      <c r="H248">
        <v>0</v>
      </c>
      <c r="I248">
        <v>250</v>
      </c>
      <c r="J248">
        <v>0</v>
      </c>
      <c r="K248">
        <v>0</v>
      </c>
      <c r="L248">
        <v>0</v>
      </c>
      <c r="M248">
        <v>250</v>
      </c>
      <c r="N248">
        <v>0</v>
      </c>
      <c r="O248">
        <v>0</v>
      </c>
    </row>
    <row r="249" spans="1:15" x14ac:dyDescent="0.3">
      <c r="A249" t="s">
        <v>26</v>
      </c>
      <c r="B249" t="s">
        <v>989</v>
      </c>
      <c r="C249" t="s">
        <v>990</v>
      </c>
      <c r="D249" t="s">
        <v>18</v>
      </c>
      <c r="E249" t="s">
        <v>19</v>
      </c>
      <c r="F249" t="s">
        <v>991</v>
      </c>
      <c r="G249" t="s">
        <v>992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3">
      <c r="A250" t="s">
        <v>26</v>
      </c>
      <c r="B250" t="s">
        <v>993</v>
      </c>
      <c r="C250" t="s">
        <v>994</v>
      </c>
      <c r="D250" t="s">
        <v>18</v>
      </c>
      <c r="E250" t="s">
        <v>19</v>
      </c>
      <c r="F250" t="s">
        <v>995</v>
      </c>
      <c r="G250" t="s">
        <v>996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3">
      <c r="A251" t="s">
        <v>26</v>
      </c>
      <c r="B251" t="s">
        <v>997</v>
      </c>
      <c r="C251" t="s">
        <v>998</v>
      </c>
      <c r="D251" t="s">
        <v>18</v>
      </c>
      <c r="E251" t="s">
        <v>19</v>
      </c>
      <c r="F251" t="s">
        <v>999</v>
      </c>
      <c r="G251" t="s">
        <v>1000</v>
      </c>
      <c r="H251">
        <v>0</v>
      </c>
      <c r="I251">
        <v>250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3">
      <c r="A252" t="s">
        <v>26</v>
      </c>
      <c r="B252" t="s">
        <v>1001</v>
      </c>
      <c r="C252" t="s">
        <v>1002</v>
      </c>
      <c r="D252" t="s">
        <v>18</v>
      </c>
      <c r="E252" t="s">
        <v>19</v>
      </c>
      <c r="F252" t="s">
        <v>1003</v>
      </c>
      <c r="G252" t="s">
        <v>1004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3">
      <c r="A253" t="s">
        <v>26</v>
      </c>
      <c r="B253" t="s">
        <v>1005</v>
      </c>
      <c r="C253" t="s">
        <v>1006</v>
      </c>
      <c r="D253" t="s">
        <v>18</v>
      </c>
      <c r="E253" t="s">
        <v>19</v>
      </c>
      <c r="F253" t="s">
        <v>1007</v>
      </c>
      <c r="G253" t="s">
        <v>1008</v>
      </c>
      <c r="H253">
        <v>0</v>
      </c>
      <c r="I253">
        <v>250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3">
      <c r="A254" t="s">
        <v>26</v>
      </c>
      <c r="B254" t="s">
        <v>1009</v>
      </c>
      <c r="C254" t="s">
        <v>1010</v>
      </c>
      <c r="D254" t="s">
        <v>18</v>
      </c>
      <c r="E254" t="s">
        <v>19</v>
      </c>
      <c r="F254" t="s">
        <v>1011</v>
      </c>
      <c r="G254" t="s">
        <v>1012</v>
      </c>
      <c r="H254">
        <v>0</v>
      </c>
      <c r="I254">
        <v>250</v>
      </c>
      <c r="J254">
        <v>0</v>
      </c>
      <c r="K254">
        <v>0</v>
      </c>
      <c r="L254">
        <v>0</v>
      </c>
      <c r="M254">
        <v>250</v>
      </c>
      <c r="N254">
        <v>0</v>
      </c>
      <c r="O254">
        <v>0</v>
      </c>
    </row>
    <row r="255" spans="1:15" x14ac:dyDescent="0.3">
      <c r="A255" t="s">
        <v>26</v>
      </c>
      <c r="B255" t="s">
        <v>1013</v>
      </c>
      <c r="C255" t="s">
        <v>1014</v>
      </c>
      <c r="D255" t="s">
        <v>18</v>
      </c>
      <c r="E255" t="s">
        <v>19</v>
      </c>
      <c r="F255" t="s">
        <v>1015</v>
      </c>
      <c r="G255" t="s">
        <v>1016</v>
      </c>
      <c r="H255">
        <v>0</v>
      </c>
      <c r="I255">
        <v>250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3">
      <c r="A256" t="s">
        <v>26</v>
      </c>
      <c r="B256" t="s">
        <v>1017</v>
      </c>
      <c r="C256" t="s">
        <v>1018</v>
      </c>
      <c r="D256" t="s">
        <v>18</v>
      </c>
      <c r="E256" t="s">
        <v>19</v>
      </c>
      <c r="F256" t="s">
        <v>1019</v>
      </c>
      <c r="G256" t="s">
        <v>1020</v>
      </c>
      <c r="H256">
        <v>0</v>
      </c>
      <c r="I256">
        <v>250</v>
      </c>
      <c r="J256">
        <v>0</v>
      </c>
      <c r="K256">
        <v>0</v>
      </c>
      <c r="L256">
        <v>0</v>
      </c>
      <c r="M256">
        <v>250</v>
      </c>
      <c r="N256">
        <v>0</v>
      </c>
      <c r="O256">
        <v>0</v>
      </c>
    </row>
    <row r="257" spans="1:15" x14ac:dyDescent="0.3">
      <c r="A257" t="s">
        <v>26</v>
      </c>
      <c r="B257" t="s">
        <v>1021</v>
      </c>
      <c r="C257" t="s">
        <v>1022</v>
      </c>
      <c r="D257" t="s">
        <v>18</v>
      </c>
      <c r="E257" t="s">
        <v>19</v>
      </c>
      <c r="F257" t="s">
        <v>1023</v>
      </c>
      <c r="G257" t="s">
        <v>1024</v>
      </c>
      <c r="H257">
        <v>0</v>
      </c>
      <c r="I257">
        <v>628</v>
      </c>
      <c r="J257">
        <v>0</v>
      </c>
      <c r="K257">
        <v>0</v>
      </c>
      <c r="L257">
        <v>0</v>
      </c>
      <c r="M257">
        <v>250</v>
      </c>
      <c r="N257">
        <v>0</v>
      </c>
      <c r="O257">
        <v>0</v>
      </c>
    </row>
    <row r="258" spans="1:15" x14ac:dyDescent="0.3">
      <c r="A258" t="s">
        <v>26</v>
      </c>
      <c r="B258" t="s">
        <v>1025</v>
      </c>
      <c r="C258" t="s">
        <v>1026</v>
      </c>
      <c r="D258" t="s">
        <v>18</v>
      </c>
      <c r="E258" t="s">
        <v>19</v>
      </c>
      <c r="F258" t="s">
        <v>1027</v>
      </c>
      <c r="G258" t="s">
        <v>1028</v>
      </c>
      <c r="H258">
        <v>0</v>
      </c>
      <c r="I258">
        <v>250</v>
      </c>
      <c r="J258">
        <v>0</v>
      </c>
      <c r="K258">
        <v>176</v>
      </c>
      <c r="L258">
        <v>0</v>
      </c>
      <c r="M258">
        <v>250</v>
      </c>
      <c r="N258">
        <v>0</v>
      </c>
      <c r="O258">
        <v>0</v>
      </c>
    </row>
    <row r="259" spans="1:15" x14ac:dyDescent="0.3">
      <c r="A259" t="s">
        <v>26</v>
      </c>
      <c r="B259" t="s">
        <v>1029</v>
      </c>
      <c r="C259" t="s">
        <v>1030</v>
      </c>
      <c r="D259" t="s">
        <v>18</v>
      </c>
      <c r="E259" t="s">
        <v>19</v>
      </c>
      <c r="F259" t="s">
        <v>1031</v>
      </c>
      <c r="G259" t="s">
        <v>1032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3">
      <c r="A260" t="s">
        <v>26</v>
      </c>
      <c r="B260" t="s">
        <v>1033</v>
      </c>
      <c r="C260" t="s">
        <v>1034</v>
      </c>
      <c r="D260" t="s">
        <v>18</v>
      </c>
      <c r="E260" t="s">
        <v>19</v>
      </c>
      <c r="F260" t="s">
        <v>1035</v>
      </c>
      <c r="G260" t="s">
        <v>1036</v>
      </c>
      <c r="H260">
        <v>0</v>
      </c>
      <c r="I260">
        <v>250</v>
      </c>
      <c r="J260">
        <v>180</v>
      </c>
      <c r="K260">
        <v>0</v>
      </c>
      <c r="L260">
        <v>0</v>
      </c>
      <c r="M260">
        <v>250</v>
      </c>
      <c r="N260">
        <v>0</v>
      </c>
      <c r="O260">
        <v>0</v>
      </c>
    </row>
    <row r="261" spans="1:15" x14ac:dyDescent="0.3">
      <c r="A261" t="s">
        <v>26</v>
      </c>
      <c r="B261" t="s">
        <v>1037</v>
      </c>
      <c r="C261" t="s">
        <v>1038</v>
      </c>
      <c r="D261" t="s">
        <v>18</v>
      </c>
      <c r="E261" t="s">
        <v>19</v>
      </c>
      <c r="F261" t="s">
        <v>1039</v>
      </c>
      <c r="G261" t="s">
        <v>1040</v>
      </c>
      <c r="H261">
        <v>0</v>
      </c>
      <c r="I261">
        <v>250</v>
      </c>
      <c r="J261">
        <v>0</v>
      </c>
      <c r="K261">
        <v>0</v>
      </c>
      <c r="L261">
        <v>0</v>
      </c>
      <c r="M261">
        <v>250</v>
      </c>
      <c r="N261">
        <v>0</v>
      </c>
      <c r="O261">
        <v>0</v>
      </c>
    </row>
    <row r="262" spans="1:15" x14ac:dyDescent="0.3">
      <c r="A262" t="s">
        <v>26</v>
      </c>
      <c r="B262" t="s">
        <v>1041</v>
      </c>
      <c r="C262" t="s">
        <v>1042</v>
      </c>
      <c r="D262" t="s">
        <v>18</v>
      </c>
      <c r="E262" t="s">
        <v>19</v>
      </c>
      <c r="F262" t="s">
        <v>1043</v>
      </c>
      <c r="G262" t="s">
        <v>1044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3">
      <c r="A263" t="s">
        <v>26</v>
      </c>
      <c r="B263" t="s">
        <v>1045</v>
      </c>
      <c r="C263" t="s">
        <v>1046</v>
      </c>
      <c r="D263" t="s">
        <v>18</v>
      </c>
      <c r="E263" t="s">
        <v>19</v>
      </c>
      <c r="F263" t="s">
        <v>1047</v>
      </c>
      <c r="G263" t="s">
        <v>1048</v>
      </c>
      <c r="H263">
        <v>0</v>
      </c>
      <c r="I263">
        <v>250</v>
      </c>
      <c r="J263">
        <v>0</v>
      </c>
      <c r="K263">
        <v>0</v>
      </c>
      <c r="L263">
        <v>0</v>
      </c>
      <c r="M263">
        <v>250</v>
      </c>
      <c r="N263">
        <v>0</v>
      </c>
      <c r="O263">
        <v>0</v>
      </c>
    </row>
    <row r="264" spans="1:15" x14ac:dyDescent="0.3">
      <c r="A264" t="s">
        <v>26</v>
      </c>
      <c r="B264" t="s">
        <v>1049</v>
      </c>
      <c r="C264" t="s">
        <v>1050</v>
      </c>
      <c r="D264" t="s">
        <v>18</v>
      </c>
      <c r="E264" t="s">
        <v>19</v>
      </c>
      <c r="F264" t="s">
        <v>1051</v>
      </c>
      <c r="G264" t="s">
        <v>1052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3">
      <c r="A265" t="s">
        <v>26</v>
      </c>
      <c r="B265" t="s">
        <v>1053</v>
      </c>
      <c r="C265" t="s">
        <v>1054</v>
      </c>
      <c r="D265" t="s">
        <v>18</v>
      </c>
      <c r="E265" t="s">
        <v>19</v>
      </c>
      <c r="F265" t="s">
        <v>1055</v>
      </c>
      <c r="G265" t="s">
        <v>1056</v>
      </c>
      <c r="H265">
        <v>0</v>
      </c>
      <c r="I265">
        <v>250</v>
      </c>
      <c r="J265">
        <v>0</v>
      </c>
      <c r="K265">
        <v>0</v>
      </c>
      <c r="L265">
        <v>0</v>
      </c>
      <c r="M265">
        <v>250</v>
      </c>
      <c r="N265">
        <v>0</v>
      </c>
      <c r="O265">
        <v>0</v>
      </c>
    </row>
    <row r="266" spans="1:15" x14ac:dyDescent="0.3">
      <c r="A266" t="s">
        <v>26</v>
      </c>
      <c r="B266" t="s">
        <v>1057</v>
      </c>
      <c r="C266" t="s">
        <v>1058</v>
      </c>
      <c r="D266" t="s">
        <v>18</v>
      </c>
      <c r="E266" t="s">
        <v>19</v>
      </c>
      <c r="F266" t="s">
        <v>1059</v>
      </c>
      <c r="G266" t="s">
        <v>1060</v>
      </c>
      <c r="H266">
        <v>0</v>
      </c>
      <c r="I266">
        <v>995</v>
      </c>
      <c r="J266">
        <v>2901</v>
      </c>
      <c r="K266">
        <v>0</v>
      </c>
      <c r="L266">
        <v>0</v>
      </c>
      <c r="M266">
        <v>995</v>
      </c>
      <c r="N266">
        <v>0</v>
      </c>
      <c r="O266">
        <v>0</v>
      </c>
    </row>
    <row r="267" spans="1:15" x14ac:dyDescent="0.3">
      <c r="A267" t="s">
        <v>26</v>
      </c>
      <c r="B267" t="s">
        <v>1061</v>
      </c>
      <c r="C267" t="s">
        <v>1062</v>
      </c>
      <c r="D267" t="s">
        <v>18</v>
      </c>
      <c r="E267" t="s">
        <v>19</v>
      </c>
      <c r="F267" t="s">
        <v>1063</v>
      </c>
      <c r="G267" t="s">
        <v>1064</v>
      </c>
      <c r="H267">
        <v>0</v>
      </c>
      <c r="I267">
        <v>2150</v>
      </c>
      <c r="J267">
        <v>0</v>
      </c>
      <c r="K267">
        <v>0</v>
      </c>
      <c r="L267">
        <v>0</v>
      </c>
      <c r="M267">
        <v>950</v>
      </c>
      <c r="N267">
        <v>0</v>
      </c>
      <c r="O267">
        <v>0</v>
      </c>
    </row>
    <row r="268" spans="1:15" x14ac:dyDescent="0.3">
      <c r="A268" t="s">
        <v>26</v>
      </c>
      <c r="B268" t="s">
        <v>1065</v>
      </c>
      <c r="C268" t="s">
        <v>1066</v>
      </c>
      <c r="D268" t="s">
        <v>18</v>
      </c>
      <c r="E268" t="s">
        <v>19</v>
      </c>
      <c r="F268" t="s">
        <v>1067</v>
      </c>
      <c r="G268" t="s">
        <v>1068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3">
      <c r="A269" t="s">
        <v>26</v>
      </c>
      <c r="B269" t="s">
        <v>1069</v>
      </c>
      <c r="C269" t="s">
        <v>1070</v>
      </c>
      <c r="D269" t="s">
        <v>18</v>
      </c>
      <c r="E269" t="s">
        <v>19</v>
      </c>
      <c r="F269" t="s">
        <v>1071</v>
      </c>
      <c r="G269" t="s">
        <v>1072</v>
      </c>
      <c r="H269">
        <v>0</v>
      </c>
      <c r="I269">
        <v>250</v>
      </c>
      <c r="J269">
        <v>0</v>
      </c>
      <c r="K269">
        <v>0</v>
      </c>
      <c r="L269">
        <v>0</v>
      </c>
      <c r="M269">
        <v>250</v>
      </c>
      <c r="N269">
        <v>0</v>
      </c>
      <c r="O269">
        <v>0</v>
      </c>
    </row>
    <row r="270" spans="1:15" x14ac:dyDescent="0.3">
      <c r="A270" t="s">
        <v>26</v>
      </c>
      <c r="B270" t="s">
        <v>1073</v>
      </c>
      <c r="C270" t="s">
        <v>1074</v>
      </c>
      <c r="D270" t="s">
        <v>18</v>
      </c>
      <c r="E270" t="s">
        <v>19</v>
      </c>
      <c r="F270" t="s">
        <v>1075</v>
      </c>
      <c r="G270" t="s">
        <v>1076</v>
      </c>
      <c r="H270">
        <v>0</v>
      </c>
      <c r="I270">
        <v>5191</v>
      </c>
      <c r="J270">
        <v>1895</v>
      </c>
      <c r="K270">
        <v>225</v>
      </c>
      <c r="L270">
        <v>0</v>
      </c>
      <c r="M270">
        <v>1614</v>
      </c>
      <c r="N270">
        <v>113</v>
      </c>
      <c r="O270">
        <v>0</v>
      </c>
    </row>
    <row r="271" spans="1:15" x14ac:dyDescent="0.3">
      <c r="A271" t="s">
        <v>26</v>
      </c>
      <c r="B271" t="s">
        <v>1077</v>
      </c>
      <c r="C271" t="s">
        <v>1078</v>
      </c>
      <c r="D271" t="s">
        <v>18</v>
      </c>
      <c r="E271" t="s">
        <v>19</v>
      </c>
      <c r="F271" t="s">
        <v>1079</v>
      </c>
      <c r="G271" t="s">
        <v>1080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3">
      <c r="A272" t="s">
        <v>26</v>
      </c>
      <c r="B272" t="s">
        <v>1081</v>
      </c>
      <c r="C272" t="s">
        <v>1082</v>
      </c>
      <c r="D272" t="s">
        <v>18</v>
      </c>
      <c r="E272" t="s">
        <v>19</v>
      </c>
      <c r="F272" t="s">
        <v>1083</v>
      </c>
      <c r="G272" t="s">
        <v>1084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3">
      <c r="A273" t="s">
        <v>26</v>
      </c>
      <c r="B273" t="s">
        <v>1085</v>
      </c>
      <c r="C273" t="s">
        <v>1086</v>
      </c>
      <c r="D273" t="s">
        <v>18</v>
      </c>
      <c r="E273" t="s">
        <v>19</v>
      </c>
      <c r="F273" t="s">
        <v>1087</v>
      </c>
      <c r="G273">
        <f>254707112233 / 254728327755</f>
        <v>0.99991671314224462</v>
      </c>
      <c r="H273">
        <v>0</v>
      </c>
      <c r="I273">
        <v>250</v>
      </c>
      <c r="J273">
        <v>0</v>
      </c>
      <c r="K273">
        <v>0</v>
      </c>
      <c r="L273">
        <v>0</v>
      </c>
      <c r="M273">
        <v>250</v>
      </c>
      <c r="N273">
        <v>0</v>
      </c>
      <c r="O273">
        <v>0</v>
      </c>
    </row>
    <row r="274" spans="1:15" x14ac:dyDescent="0.3">
      <c r="A274" t="s">
        <v>26</v>
      </c>
      <c r="B274" t="s">
        <v>1088</v>
      </c>
      <c r="C274" t="s">
        <v>1089</v>
      </c>
      <c r="D274" t="s">
        <v>18</v>
      </c>
      <c r="E274" t="s">
        <v>19</v>
      </c>
      <c r="F274" t="s">
        <v>1090</v>
      </c>
      <c r="G274">
        <f>254722361137 / 254775533938</f>
        <v>0.99979129549773438</v>
      </c>
      <c r="H274">
        <v>0</v>
      </c>
      <c r="I274">
        <v>250</v>
      </c>
      <c r="J274">
        <v>167</v>
      </c>
      <c r="K274">
        <v>990</v>
      </c>
      <c r="L274">
        <v>0</v>
      </c>
      <c r="M274">
        <v>250</v>
      </c>
      <c r="N274">
        <v>0</v>
      </c>
      <c r="O274">
        <v>0</v>
      </c>
    </row>
    <row r="275" spans="1:15" x14ac:dyDescent="0.3">
      <c r="A275" t="s">
        <v>26</v>
      </c>
      <c r="B275" t="s">
        <v>1091</v>
      </c>
      <c r="C275" t="s">
        <v>1092</v>
      </c>
      <c r="D275" t="s">
        <v>18</v>
      </c>
      <c r="E275" t="s">
        <v>19</v>
      </c>
      <c r="F275" t="s">
        <v>1093</v>
      </c>
      <c r="G275" t="s">
        <v>1094</v>
      </c>
      <c r="H275">
        <v>0</v>
      </c>
      <c r="I275">
        <v>250</v>
      </c>
      <c r="J275">
        <v>0</v>
      </c>
      <c r="K275">
        <v>192</v>
      </c>
      <c r="L275">
        <v>0</v>
      </c>
      <c r="M275">
        <v>250</v>
      </c>
      <c r="N275">
        <v>0</v>
      </c>
      <c r="O275">
        <v>0</v>
      </c>
    </row>
    <row r="276" spans="1:15" x14ac:dyDescent="0.3">
      <c r="A276" t="s">
        <v>26</v>
      </c>
      <c r="B276" t="s">
        <v>1095</v>
      </c>
      <c r="C276" t="s">
        <v>1096</v>
      </c>
      <c r="D276" t="s">
        <v>18</v>
      </c>
      <c r="E276" t="s">
        <v>19</v>
      </c>
      <c r="F276" t="s">
        <v>1097</v>
      </c>
      <c r="G276" t="s">
        <v>1098</v>
      </c>
      <c r="H276">
        <v>0</v>
      </c>
      <c r="I276">
        <v>1340</v>
      </c>
      <c r="J276">
        <v>7038</v>
      </c>
      <c r="K276">
        <v>0</v>
      </c>
      <c r="L276">
        <v>0</v>
      </c>
      <c r="M276">
        <v>1340</v>
      </c>
      <c r="N276">
        <v>406</v>
      </c>
      <c r="O276">
        <v>0</v>
      </c>
    </row>
    <row r="277" spans="1:15" x14ac:dyDescent="0.3">
      <c r="A277" t="s">
        <v>26</v>
      </c>
      <c r="B277" t="s">
        <v>1099</v>
      </c>
      <c r="C277" t="s">
        <v>1100</v>
      </c>
      <c r="D277" t="s">
        <v>18</v>
      </c>
      <c r="E277" t="s">
        <v>19</v>
      </c>
      <c r="F277" t="s">
        <v>1101</v>
      </c>
      <c r="G277" t="s">
        <v>1102</v>
      </c>
      <c r="H277">
        <v>0</v>
      </c>
      <c r="I277">
        <v>250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3">
      <c r="A278" t="s">
        <v>26</v>
      </c>
      <c r="B278" t="s">
        <v>1103</v>
      </c>
      <c r="C278" t="s">
        <v>1104</v>
      </c>
      <c r="D278" t="s">
        <v>18</v>
      </c>
      <c r="E278" t="s">
        <v>19</v>
      </c>
      <c r="F278" t="s">
        <v>1105</v>
      </c>
      <c r="G278" t="s">
        <v>1106</v>
      </c>
      <c r="H278">
        <v>3327</v>
      </c>
      <c r="I278">
        <v>6916</v>
      </c>
      <c r="J278">
        <v>19699</v>
      </c>
      <c r="K278">
        <v>1673</v>
      </c>
      <c r="L278">
        <v>0</v>
      </c>
      <c r="M278">
        <v>5889</v>
      </c>
      <c r="N278">
        <v>0</v>
      </c>
      <c r="O278">
        <v>0</v>
      </c>
    </row>
    <row r="279" spans="1:15" x14ac:dyDescent="0.3">
      <c r="A279" t="s">
        <v>26</v>
      </c>
      <c r="B279" t="s">
        <v>1107</v>
      </c>
      <c r="C279" t="s">
        <v>1108</v>
      </c>
      <c r="D279" t="s">
        <v>18</v>
      </c>
      <c r="E279" t="s">
        <v>19</v>
      </c>
      <c r="F279" t="s">
        <v>1109</v>
      </c>
      <c r="G279" t="s">
        <v>1110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3">
      <c r="A280" t="s">
        <v>26</v>
      </c>
      <c r="B280" t="s">
        <v>1111</v>
      </c>
      <c r="C280" t="s">
        <v>1112</v>
      </c>
      <c r="D280" t="s">
        <v>18</v>
      </c>
      <c r="E280" t="s">
        <v>19</v>
      </c>
      <c r="F280" t="s">
        <v>1113</v>
      </c>
      <c r="G280" t="s">
        <v>1114</v>
      </c>
      <c r="H280">
        <v>0</v>
      </c>
      <c r="I280">
        <v>250</v>
      </c>
      <c r="J280">
        <v>0</v>
      </c>
      <c r="K280">
        <v>0</v>
      </c>
      <c r="L280">
        <v>0</v>
      </c>
      <c r="M280">
        <v>250</v>
      </c>
      <c r="N280">
        <v>0</v>
      </c>
      <c r="O280">
        <v>0</v>
      </c>
    </row>
    <row r="281" spans="1:15" x14ac:dyDescent="0.3">
      <c r="A281" t="s">
        <v>26</v>
      </c>
      <c r="B281" t="s">
        <v>1115</v>
      </c>
      <c r="C281" t="s">
        <v>1116</v>
      </c>
      <c r="D281" t="s">
        <v>18</v>
      </c>
      <c r="E281" t="s">
        <v>19</v>
      </c>
      <c r="F281" t="s">
        <v>1117</v>
      </c>
      <c r="G281" t="s">
        <v>1118</v>
      </c>
      <c r="H281">
        <v>0</v>
      </c>
      <c r="I281">
        <v>250</v>
      </c>
      <c r="J281">
        <v>0</v>
      </c>
      <c r="K281">
        <v>0</v>
      </c>
      <c r="L281">
        <v>0</v>
      </c>
      <c r="M281">
        <v>250</v>
      </c>
      <c r="N281">
        <v>0</v>
      </c>
      <c r="O281">
        <v>0</v>
      </c>
    </row>
    <row r="282" spans="1:15" x14ac:dyDescent="0.3">
      <c r="A282" t="s">
        <v>26</v>
      </c>
      <c r="B282" t="s">
        <v>1119</v>
      </c>
      <c r="C282" t="s">
        <v>1120</v>
      </c>
      <c r="D282" t="s">
        <v>18</v>
      </c>
      <c r="E282" t="s">
        <v>19</v>
      </c>
      <c r="F282" t="s">
        <v>1121</v>
      </c>
      <c r="G282" t="s">
        <v>1122</v>
      </c>
      <c r="H282">
        <v>0</v>
      </c>
      <c r="I282">
        <v>1675</v>
      </c>
      <c r="J282">
        <v>0</v>
      </c>
      <c r="K282">
        <v>592</v>
      </c>
      <c r="L282">
        <v>1200</v>
      </c>
      <c r="M282">
        <v>212</v>
      </c>
      <c r="N282">
        <v>108</v>
      </c>
      <c r="O282">
        <v>0</v>
      </c>
    </row>
    <row r="283" spans="1:15" x14ac:dyDescent="0.3">
      <c r="A283" t="s">
        <v>26</v>
      </c>
      <c r="B283" t="s">
        <v>1123</v>
      </c>
      <c r="C283" t="s">
        <v>1124</v>
      </c>
      <c r="D283" t="s">
        <v>18</v>
      </c>
      <c r="E283" t="s">
        <v>19</v>
      </c>
      <c r="F283" t="s">
        <v>1125</v>
      </c>
      <c r="G283">
        <f>254725813758 / 715834487</f>
        <v>355.84456796086158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">
      <c r="A284" t="s">
        <v>26</v>
      </c>
      <c r="B284" t="s">
        <v>1126</v>
      </c>
      <c r="C284" t="s">
        <v>1127</v>
      </c>
      <c r="D284" t="s">
        <v>18</v>
      </c>
      <c r="E284" t="s">
        <v>19</v>
      </c>
      <c r="F284" t="s">
        <v>1128</v>
      </c>
      <c r="G284" t="s">
        <v>1129</v>
      </c>
      <c r="H284">
        <v>0</v>
      </c>
      <c r="I284">
        <v>453</v>
      </c>
      <c r="J284">
        <v>0</v>
      </c>
      <c r="K284">
        <v>0</v>
      </c>
      <c r="L284">
        <v>0</v>
      </c>
      <c r="M284">
        <v>453</v>
      </c>
      <c r="N284">
        <v>203</v>
      </c>
      <c r="O284">
        <v>0</v>
      </c>
    </row>
    <row r="285" spans="1:15" x14ac:dyDescent="0.3">
      <c r="A285" t="s">
        <v>26</v>
      </c>
      <c r="B285" t="s">
        <v>1130</v>
      </c>
      <c r="C285" t="s">
        <v>1131</v>
      </c>
      <c r="D285" t="s">
        <v>18</v>
      </c>
      <c r="E285" t="s">
        <v>19</v>
      </c>
      <c r="F285" t="s">
        <v>1132</v>
      </c>
      <c r="G285" t="s">
        <v>1133</v>
      </c>
      <c r="H285">
        <v>0</v>
      </c>
      <c r="I285">
        <v>250</v>
      </c>
      <c r="J285">
        <v>0</v>
      </c>
      <c r="K285">
        <v>0</v>
      </c>
      <c r="L285">
        <v>0</v>
      </c>
      <c r="M285">
        <v>250</v>
      </c>
      <c r="N285">
        <v>0</v>
      </c>
      <c r="O285">
        <v>0</v>
      </c>
    </row>
    <row r="286" spans="1:15" x14ac:dyDescent="0.3">
      <c r="A286" t="s">
        <v>26</v>
      </c>
      <c r="B286" t="s">
        <v>1134</v>
      </c>
      <c r="C286" t="s">
        <v>1135</v>
      </c>
      <c r="D286" t="s">
        <v>18</v>
      </c>
      <c r="E286" t="s">
        <v>19</v>
      </c>
      <c r="F286" t="s">
        <v>1136</v>
      </c>
      <c r="G286" t="s">
        <v>1137</v>
      </c>
      <c r="H286">
        <v>0</v>
      </c>
      <c r="I286">
        <v>250</v>
      </c>
      <c r="J286">
        <v>0</v>
      </c>
      <c r="K286">
        <v>0</v>
      </c>
      <c r="L286">
        <v>0</v>
      </c>
      <c r="M286">
        <v>250</v>
      </c>
      <c r="N286">
        <v>0</v>
      </c>
      <c r="O286">
        <v>0</v>
      </c>
    </row>
    <row r="287" spans="1:15" x14ac:dyDescent="0.3">
      <c r="A287" t="s">
        <v>26</v>
      </c>
      <c r="B287" t="s">
        <v>1138</v>
      </c>
      <c r="C287" t="s">
        <v>1139</v>
      </c>
      <c r="D287" t="s">
        <v>18</v>
      </c>
      <c r="E287" t="s">
        <v>19</v>
      </c>
      <c r="F287" t="s">
        <v>1140</v>
      </c>
      <c r="G287" t="s">
        <v>1141</v>
      </c>
      <c r="H287">
        <v>0</v>
      </c>
      <c r="I287">
        <v>250</v>
      </c>
      <c r="J287">
        <v>188</v>
      </c>
      <c r="K287">
        <v>345</v>
      </c>
      <c r="L287">
        <v>0</v>
      </c>
      <c r="M287">
        <v>250</v>
      </c>
      <c r="N287">
        <v>0</v>
      </c>
      <c r="O287">
        <v>0</v>
      </c>
    </row>
    <row r="288" spans="1:15" x14ac:dyDescent="0.3">
      <c r="A288" t="s">
        <v>26</v>
      </c>
      <c r="B288" t="s">
        <v>1142</v>
      </c>
      <c r="C288" t="s">
        <v>1143</v>
      </c>
      <c r="D288" t="s">
        <v>18</v>
      </c>
      <c r="E288" t="s">
        <v>19</v>
      </c>
      <c r="F288" t="s">
        <v>1144</v>
      </c>
      <c r="G288" t="s">
        <v>1145</v>
      </c>
      <c r="H288">
        <v>0</v>
      </c>
      <c r="I288">
        <v>10155</v>
      </c>
      <c r="J288">
        <v>6632</v>
      </c>
      <c r="K288">
        <v>0</v>
      </c>
      <c r="L288">
        <v>0</v>
      </c>
      <c r="M288">
        <v>10155</v>
      </c>
      <c r="N288">
        <v>0</v>
      </c>
      <c r="O288">
        <v>0</v>
      </c>
    </row>
    <row r="289" spans="1:15" x14ac:dyDescent="0.3">
      <c r="A289" t="s">
        <v>26</v>
      </c>
      <c r="B289" t="s">
        <v>1146</v>
      </c>
      <c r="C289" t="s">
        <v>1147</v>
      </c>
      <c r="D289" t="s">
        <v>18</v>
      </c>
      <c r="E289" t="s">
        <v>19</v>
      </c>
      <c r="F289" t="s">
        <v>1148</v>
      </c>
      <c r="G289" t="s">
        <v>1149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3">
      <c r="A290" t="s">
        <v>26</v>
      </c>
      <c r="B290" t="s">
        <v>1150</v>
      </c>
      <c r="C290" t="s">
        <v>1151</v>
      </c>
      <c r="D290" t="s">
        <v>18</v>
      </c>
      <c r="E290" t="s">
        <v>19</v>
      </c>
      <c r="F290" t="s">
        <v>1152</v>
      </c>
      <c r="G290" t="s">
        <v>1153</v>
      </c>
      <c r="H290">
        <v>0</v>
      </c>
      <c r="I290">
        <v>250</v>
      </c>
      <c r="J290">
        <v>0</v>
      </c>
      <c r="K290">
        <v>0</v>
      </c>
      <c r="L290">
        <v>0</v>
      </c>
      <c r="M290">
        <v>250</v>
      </c>
      <c r="N290">
        <v>0</v>
      </c>
      <c r="O290">
        <v>0</v>
      </c>
    </row>
    <row r="291" spans="1:15" x14ac:dyDescent="0.3">
      <c r="A291" t="s">
        <v>26</v>
      </c>
      <c r="B291" t="s">
        <v>1154</v>
      </c>
      <c r="C291" t="s">
        <v>1155</v>
      </c>
      <c r="D291" t="s">
        <v>18</v>
      </c>
      <c r="E291" t="s">
        <v>19</v>
      </c>
      <c r="F291" t="s">
        <v>1156</v>
      </c>
      <c r="G291" t="s">
        <v>1157</v>
      </c>
      <c r="H291">
        <v>263</v>
      </c>
      <c r="I291">
        <v>2531</v>
      </c>
      <c r="J291">
        <v>4255</v>
      </c>
      <c r="K291">
        <v>0</v>
      </c>
      <c r="L291">
        <v>0</v>
      </c>
      <c r="M291">
        <v>889</v>
      </c>
      <c r="N291">
        <v>0</v>
      </c>
      <c r="O291">
        <v>0</v>
      </c>
    </row>
    <row r="292" spans="1:15" x14ac:dyDescent="0.3">
      <c r="A292" t="s">
        <v>26</v>
      </c>
      <c r="B292" t="s">
        <v>1158</v>
      </c>
      <c r="C292" t="s">
        <v>1159</v>
      </c>
      <c r="D292" t="s">
        <v>18</v>
      </c>
      <c r="E292" t="s">
        <v>19</v>
      </c>
      <c r="F292" t="s">
        <v>1160</v>
      </c>
      <c r="G292" t="s">
        <v>1161</v>
      </c>
      <c r="H292">
        <v>0</v>
      </c>
      <c r="I292">
        <v>250</v>
      </c>
      <c r="J292">
        <v>0</v>
      </c>
      <c r="K292">
        <v>0</v>
      </c>
      <c r="L292">
        <v>0</v>
      </c>
      <c r="M292">
        <v>250</v>
      </c>
      <c r="N292">
        <v>0</v>
      </c>
      <c r="O292">
        <v>0</v>
      </c>
    </row>
    <row r="293" spans="1:15" x14ac:dyDescent="0.3">
      <c r="A293" t="s">
        <v>26</v>
      </c>
      <c r="B293" t="s">
        <v>1162</v>
      </c>
      <c r="C293" t="s">
        <v>1163</v>
      </c>
      <c r="D293" t="s">
        <v>18</v>
      </c>
      <c r="E293" t="s">
        <v>19</v>
      </c>
      <c r="F293" t="s">
        <v>1164</v>
      </c>
      <c r="G293" t="s">
        <v>1165</v>
      </c>
      <c r="H293">
        <v>0</v>
      </c>
      <c r="I293">
        <v>250</v>
      </c>
      <c r="J293">
        <v>0</v>
      </c>
      <c r="K293">
        <v>0</v>
      </c>
      <c r="L293">
        <v>0</v>
      </c>
      <c r="M293">
        <v>250</v>
      </c>
      <c r="N293">
        <v>0</v>
      </c>
      <c r="O293">
        <v>0</v>
      </c>
    </row>
    <row r="294" spans="1:15" x14ac:dyDescent="0.3">
      <c r="A294" t="s">
        <v>26</v>
      </c>
      <c r="B294" t="s">
        <v>1166</v>
      </c>
      <c r="C294" t="s">
        <v>1167</v>
      </c>
      <c r="D294" t="s">
        <v>18</v>
      </c>
      <c r="E294" t="s">
        <v>19</v>
      </c>
      <c r="F294" t="s">
        <v>1168</v>
      </c>
      <c r="G294" t="s">
        <v>1169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3">
      <c r="A295" t="s">
        <v>26</v>
      </c>
      <c r="B295" t="s">
        <v>1170</v>
      </c>
      <c r="C295" t="s">
        <v>1171</v>
      </c>
      <c r="D295" t="s">
        <v>18</v>
      </c>
      <c r="E295" t="s">
        <v>19</v>
      </c>
      <c r="F295" t="s">
        <v>1172</v>
      </c>
      <c r="G295" t="s">
        <v>1173</v>
      </c>
      <c r="H295">
        <v>3591</v>
      </c>
      <c r="I295">
        <v>6365</v>
      </c>
      <c r="J295">
        <v>20411</v>
      </c>
      <c r="K295">
        <v>554</v>
      </c>
      <c r="L295">
        <v>600</v>
      </c>
      <c r="M295">
        <v>6365</v>
      </c>
      <c r="N295">
        <v>206</v>
      </c>
      <c r="O295">
        <v>0</v>
      </c>
    </row>
    <row r="296" spans="1:15" x14ac:dyDescent="0.3">
      <c r="A296" t="s">
        <v>26</v>
      </c>
      <c r="B296" t="s">
        <v>1174</v>
      </c>
      <c r="C296" t="s">
        <v>1175</v>
      </c>
      <c r="D296" t="s">
        <v>18</v>
      </c>
      <c r="E296" t="s">
        <v>19</v>
      </c>
      <c r="F296" t="s">
        <v>1176</v>
      </c>
      <c r="G296" t="s">
        <v>598</v>
      </c>
      <c r="H296">
        <v>0</v>
      </c>
      <c r="I296">
        <v>250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3">
      <c r="A297" t="s">
        <v>26</v>
      </c>
      <c r="B297" t="s">
        <v>1177</v>
      </c>
      <c r="C297" t="s">
        <v>1178</v>
      </c>
      <c r="D297" t="s">
        <v>18</v>
      </c>
      <c r="E297" t="s">
        <v>19</v>
      </c>
      <c r="F297" t="s">
        <v>1179</v>
      </c>
      <c r="G297" t="s">
        <v>1180</v>
      </c>
      <c r="H297">
        <v>0</v>
      </c>
      <c r="I297">
        <v>250</v>
      </c>
      <c r="J297">
        <v>0</v>
      </c>
      <c r="K297">
        <v>0</v>
      </c>
      <c r="L297">
        <v>0</v>
      </c>
      <c r="M297">
        <v>250</v>
      </c>
      <c r="N297">
        <v>0</v>
      </c>
      <c r="O297">
        <v>0</v>
      </c>
    </row>
    <row r="298" spans="1:15" x14ac:dyDescent="0.3">
      <c r="A298" t="s">
        <v>26</v>
      </c>
      <c r="B298" t="s">
        <v>1181</v>
      </c>
      <c r="C298" t="s">
        <v>1182</v>
      </c>
      <c r="D298" t="s">
        <v>18</v>
      </c>
      <c r="E298" t="s">
        <v>19</v>
      </c>
      <c r="F298" t="s">
        <v>1183</v>
      </c>
      <c r="G298" t="s">
        <v>1184</v>
      </c>
      <c r="H298">
        <v>5779</v>
      </c>
      <c r="I298">
        <v>9436</v>
      </c>
      <c r="J298">
        <v>28525</v>
      </c>
      <c r="K298">
        <v>3538</v>
      </c>
      <c r="L298">
        <v>0</v>
      </c>
      <c r="M298">
        <v>3298</v>
      </c>
      <c r="N298">
        <v>1091</v>
      </c>
      <c r="O298">
        <v>0</v>
      </c>
    </row>
    <row r="299" spans="1:15" x14ac:dyDescent="0.3">
      <c r="A299" t="s">
        <v>26</v>
      </c>
      <c r="B299" t="s">
        <v>1185</v>
      </c>
      <c r="C299" t="s">
        <v>1186</v>
      </c>
      <c r="D299" t="s">
        <v>18</v>
      </c>
      <c r="E299" t="s">
        <v>19</v>
      </c>
      <c r="F299" t="s">
        <v>1187</v>
      </c>
      <c r="G299" t="s">
        <v>1188</v>
      </c>
      <c r="H299">
        <v>0</v>
      </c>
      <c r="I299">
        <v>250</v>
      </c>
      <c r="J299">
        <v>0</v>
      </c>
      <c r="K299">
        <v>0</v>
      </c>
      <c r="L299">
        <v>0</v>
      </c>
      <c r="M299">
        <v>250</v>
      </c>
      <c r="N299">
        <v>0</v>
      </c>
      <c r="O299">
        <v>0</v>
      </c>
    </row>
    <row r="300" spans="1:15" x14ac:dyDescent="0.3">
      <c r="A300" t="s">
        <v>26</v>
      </c>
      <c r="B300" t="s">
        <v>1189</v>
      </c>
      <c r="C300" t="s">
        <v>1190</v>
      </c>
      <c r="D300" t="s">
        <v>18</v>
      </c>
      <c r="E300" t="s">
        <v>19</v>
      </c>
      <c r="F300" t="s">
        <v>1191</v>
      </c>
      <c r="G300" t="s">
        <v>1192</v>
      </c>
      <c r="H300">
        <v>0</v>
      </c>
      <c r="I300">
        <v>250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3">
      <c r="A301" t="s">
        <v>26</v>
      </c>
      <c r="B301" t="s">
        <v>1193</v>
      </c>
      <c r="C301" t="s">
        <v>1194</v>
      </c>
      <c r="D301" t="s">
        <v>18</v>
      </c>
      <c r="E301" t="s">
        <v>19</v>
      </c>
      <c r="F301" t="s">
        <v>1195</v>
      </c>
      <c r="G301" t="s">
        <v>1196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3">
      <c r="A302" t="s">
        <v>26</v>
      </c>
      <c r="B302" t="s">
        <v>1197</v>
      </c>
      <c r="C302" t="s">
        <v>1198</v>
      </c>
      <c r="D302" t="s">
        <v>18</v>
      </c>
      <c r="E302" t="s">
        <v>19</v>
      </c>
      <c r="F302" t="s">
        <v>1199</v>
      </c>
      <c r="G302" t="s">
        <v>1200</v>
      </c>
      <c r="H302">
        <v>0</v>
      </c>
      <c r="I302">
        <v>250</v>
      </c>
      <c r="J302">
        <v>0</v>
      </c>
      <c r="K302">
        <v>0</v>
      </c>
      <c r="L302">
        <v>0</v>
      </c>
      <c r="M302">
        <v>250</v>
      </c>
      <c r="N302">
        <v>0</v>
      </c>
      <c r="O302">
        <v>0</v>
      </c>
    </row>
    <row r="303" spans="1:15" x14ac:dyDescent="0.3">
      <c r="A303" t="s">
        <v>26</v>
      </c>
      <c r="B303" t="s">
        <v>1201</v>
      </c>
      <c r="C303" t="s">
        <v>1202</v>
      </c>
      <c r="D303" t="s">
        <v>18</v>
      </c>
      <c r="E303" t="s">
        <v>19</v>
      </c>
      <c r="F303" t="s">
        <v>1203</v>
      </c>
      <c r="G303" t="s">
        <v>1204</v>
      </c>
      <c r="H303">
        <v>0</v>
      </c>
      <c r="I303">
        <v>250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3">
      <c r="A304" t="s">
        <v>26</v>
      </c>
      <c r="B304" t="s">
        <v>1205</v>
      </c>
      <c r="C304" t="s">
        <v>1206</v>
      </c>
      <c r="D304" t="s">
        <v>18</v>
      </c>
      <c r="E304" t="s">
        <v>19</v>
      </c>
      <c r="F304" t="s">
        <v>1207</v>
      </c>
      <c r="G304">
        <f>25472521416 / 254720280000</f>
        <v>0.1000019370895792</v>
      </c>
      <c r="H304">
        <v>0</v>
      </c>
      <c r="I304">
        <v>1350</v>
      </c>
      <c r="J304">
        <v>36968</v>
      </c>
      <c r="K304">
        <v>199</v>
      </c>
      <c r="L304">
        <v>0</v>
      </c>
      <c r="M304">
        <v>750</v>
      </c>
      <c r="N304">
        <v>500</v>
      </c>
      <c r="O304">
        <v>600</v>
      </c>
    </row>
    <row r="305" spans="1:15" x14ac:dyDescent="0.3">
      <c r="A305" t="s">
        <v>26</v>
      </c>
      <c r="B305" t="s">
        <v>1208</v>
      </c>
      <c r="C305" t="s">
        <v>1209</v>
      </c>
      <c r="D305" t="s">
        <v>18</v>
      </c>
      <c r="E305" t="s">
        <v>19</v>
      </c>
      <c r="F305" t="s">
        <v>1210</v>
      </c>
      <c r="G305" t="s">
        <v>1211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">
      <c r="A306" t="s">
        <v>26</v>
      </c>
      <c r="B306" t="s">
        <v>1212</v>
      </c>
      <c r="C306" t="s">
        <v>1213</v>
      </c>
      <c r="D306" t="s">
        <v>18</v>
      </c>
      <c r="E306" t="s">
        <v>19</v>
      </c>
      <c r="F306" t="s">
        <v>1214</v>
      </c>
      <c r="G306" t="s">
        <v>1215</v>
      </c>
      <c r="H306">
        <v>0</v>
      </c>
      <c r="I306">
        <v>250</v>
      </c>
      <c r="J306">
        <v>0</v>
      </c>
      <c r="K306">
        <v>0</v>
      </c>
      <c r="L306">
        <v>0</v>
      </c>
      <c r="M306">
        <v>250</v>
      </c>
      <c r="N306">
        <v>0</v>
      </c>
      <c r="O306">
        <v>0</v>
      </c>
    </row>
    <row r="307" spans="1:15" x14ac:dyDescent="0.3">
      <c r="A307" t="s">
        <v>26</v>
      </c>
      <c r="B307" t="s">
        <v>1216</v>
      </c>
      <c r="C307" t="s">
        <v>1217</v>
      </c>
      <c r="D307" t="s">
        <v>18</v>
      </c>
      <c r="E307" t="s">
        <v>19</v>
      </c>
      <c r="F307" t="s">
        <v>1218</v>
      </c>
      <c r="G307" t="s">
        <v>1219</v>
      </c>
      <c r="H307">
        <v>0</v>
      </c>
      <c r="I307">
        <v>250</v>
      </c>
      <c r="J307">
        <v>0</v>
      </c>
      <c r="K307">
        <v>0</v>
      </c>
      <c r="L307">
        <v>0</v>
      </c>
      <c r="M307">
        <v>250</v>
      </c>
      <c r="N307">
        <v>0</v>
      </c>
      <c r="O307">
        <v>0</v>
      </c>
    </row>
    <row r="308" spans="1:15" x14ac:dyDescent="0.3">
      <c r="A308" t="s">
        <v>26</v>
      </c>
      <c r="B308" t="s">
        <v>1220</v>
      </c>
      <c r="C308" t="s">
        <v>1221</v>
      </c>
      <c r="D308" t="s">
        <v>18</v>
      </c>
      <c r="E308" t="s">
        <v>19</v>
      </c>
      <c r="F308" t="s">
        <v>1222</v>
      </c>
      <c r="G308" t="s">
        <v>1223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3">
      <c r="A309" t="s">
        <v>26</v>
      </c>
      <c r="B309" t="s">
        <v>1224</v>
      </c>
      <c r="C309" t="s">
        <v>1225</v>
      </c>
      <c r="D309" t="s">
        <v>18</v>
      </c>
      <c r="E309" t="s">
        <v>19</v>
      </c>
      <c r="F309" t="s">
        <v>1226</v>
      </c>
      <c r="G309" t="s">
        <v>1227</v>
      </c>
      <c r="H309">
        <v>0</v>
      </c>
      <c r="I309">
        <v>250</v>
      </c>
      <c r="J309">
        <v>0</v>
      </c>
      <c r="K309">
        <v>0</v>
      </c>
      <c r="L309">
        <v>0</v>
      </c>
      <c r="M309">
        <v>250</v>
      </c>
      <c r="N309">
        <v>0</v>
      </c>
      <c r="O309">
        <v>0</v>
      </c>
    </row>
    <row r="310" spans="1:15" x14ac:dyDescent="0.3">
      <c r="A310" t="s">
        <v>26</v>
      </c>
      <c r="B310" t="s">
        <v>1228</v>
      </c>
      <c r="C310" t="s">
        <v>1229</v>
      </c>
      <c r="D310" t="s">
        <v>18</v>
      </c>
      <c r="E310" t="s">
        <v>19</v>
      </c>
      <c r="F310" t="s">
        <v>1230</v>
      </c>
      <c r="G310" t="s">
        <v>1231</v>
      </c>
      <c r="H310">
        <v>0</v>
      </c>
      <c r="I310">
        <v>250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3">
      <c r="A311" t="s">
        <v>26</v>
      </c>
      <c r="B311" t="s">
        <v>1232</v>
      </c>
      <c r="C311" t="s">
        <v>1233</v>
      </c>
      <c r="D311" t="s">
        <v>18</v>
      </c>
      <c r="E311" t="s">
        <v>19</v>
      </c>
      <c r="F311" t="s">
        <v>1234</v>
      </c>
      <c r="G311" t="s">
        <v>1235</v>
      </c>
      <c r="H311">
        <v>0</v>
      </c>
      <c r="I311">
        <v>250</v>
      </c>
      <c r="J311">
        <v>0</v>
      </c>
      <c r="K311">
        <v>0</v>
      </c>
      <c r="L311">
        <v>0</v>
      </c>
      <c r="M311">
        <v>250</v>
      </c>
      <c r="N311">
        <v>0</v>
      </c>
      <c r="O311">
        <v>0</v>
      </c>
    </row>
    <row r="312" spans="1:15" x14ac:dyDescent="0.3">
      <c r="A312" t="s">
        <v>26</v>
      </c>
      <c r="B312" t="s">
        <v>1236</v>
      </c>
      <c r="C312" t="s">
        <v>1237</v>
      </c>
      <c r="D312" t="s">
        <v>18</v>
      </c>
      <c r="E312" t="s">
        <v>19</v>
      </c>
      <c r="F312" t="s">
        <v>1238</v>
      </c>
      <c r="G312" t="s">
        <v>1239</v>
      </c>
      <c r="H312">
        <v>0</v>
      </c>
      <c r="I312">
        <v>466</v>
      </c>
      <c r="J312">
        <v>0</v>
      </c>
      <c r="K312">
        <v>0</v>
      </c>
      <c r="L312">
        <v>0</v>
      </c>
      <c r="M312">
        <v>466</v>
      </c>
      <c r="N312">
        <v>0</v>
      </c>
      <c r="O312">
        <v>0</v>
      </c>
    </row>
    <row r="313" spans="1:15" x14ac:dyDescent="0.3">
      <c r="A313" t="s">
        <v>26</v>
      </c>
      <c r="B313" t="s">
        <v>1240</v>
      </c>
      <c r="C313" t="s">
        <v>1241</v>
      </c>
      <c r="D313" t="s">
        <v>18</v>
      </c>
      <c r="E313" t="s">
        <v>19</v>
      </c>
      <c r="F313" t="s">
        <v>1242</v>
      </c>
      <c r="G313" t="s">
        <v>1243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3">
      <c r="A314" t="s">
        <v>26</v>
      </c>
      <c r="B314" t="s">
        <v>1244</v>
      </c>
      <c r="C314" t="s">
        <v>1245</v>
      </c>
      <c r="D314" t="s">
        <v>18</v>
      </c>
      <c r="E314" t="s">
        <v>19</v>
      </c>
      <c r="F314" t="s">
        <v>1246</v>
      </c>
      <c r="G314" t="s">
        <v>1247</v>
      </c>
      <c r="H314">
        <v>0</v>
      </c>
      <c r="I314">
        <v>250</v>
      </c>
      <c r="J314">
        <v>0</v>
      </c>
      <c r="K314">
        <v>0</v>
      </c>
      <c r="L314">
        <v>0</v>
      </c>
      <c r="M314">
        <v>250</v>
      </c>
      <c r="N314">
        <v>0</v>
      </c>
      <c r="O314">
        <v>0</v>
      </c>
    </row>
    <row r="315" spans="1:15" x14ac:dyDescent="0.3">
      <c r="A315" t="s">
        <v>26</v>
      </c>
      <c r="B315" t="s">
        <v>1248</v>
      </c>
      <c r="C315" t="s">
        <v>1249</v>
      </c>
      <c r="D315" t="s">
        <v>18</v>
      </c>
      <c r="E315" t="s">
        <v>19</v>
      </c>
      <c r="F315" t="s">
        <v>1250</v>
      </c>
      <c r="G315">
        <f>254720069345 / 254</f>
        <v>1002834918.6811024</v>
      </c>
      <c r="H315">
        <v>0</v>
      </c>
      <c r="I315">
        <v>250</v>
      </c>
      <c r="J315">
        <v>0</v>
      </c>
      <c r="K315">
        <v>0</v>
      </c>
      <c r="L315">
        <v>0</v>
      </c>
      <c r="M315">
        <v>250</v>
      </c>
      <c r="N315">
        <v>0</v>
      </c>
      <c r="O315">
        <v>0</v>
      </c>
    </row>
    <row r="316" spans="1:15" x14ac:dyDescent="0.3">
      <c r="A316" t="s">
        <v>26</v>
      </c>
      <c r="B316" t="s">
        <v>1251</v>
      </c>
      <c r="C316" t="s">
        <v>1252</v>
      </c>
      <c r="D316" t="s">
        <v>18</v>
      </c>
      <c r="E316" t="s">
        <v>19</v>
      </c>
      <c r="F316" t="s">
        <v>1253</v>
      </c>
      <c r="G316" t="s">
        <v>1254</v>
      </c>
      <c r="H316">
        <v>0</v>
      </c>
      <c r="I316">
        <v>250</v>
      </c>
      <c r="J316">
        <v>0</v>
      </c>
      <c r="K316">
        <v>0</v>
      </c>
      <c r="L316">
        <v>0</v>
      </c>
      <c r="M316">
        <v>250</v>
      </c>
      <c r="N316">
        <v>0</v>
      </c>
      <c r="O316">
        <v>0</v>
      </c>
    </row>
    <row r="317" spans="1:15" x14ac:dyDescent="0.3">
      <c r="A317" t="s">
        <v>26</v>
      </c>
      <c r="B317" t="s">
        <v>1255</v>
      </c>
      <c r="C317" t="s">
        <v>1256</v>
      </c>
      <c r="D317" t="s">
        <v>18</v>
      </c>
      <c r="E317" t="s">
        <v>19</v>
      </c>
      <c r="F317" t="s">
        <v>1257</v>
      </c>
      <c r="G317" t="s">
        <v>1258</v>
      </c>
      <c r="H317">
        <v>0</v>
      </c>
      <c r="I317">
        <v>916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3">
      <c r="A318" t="s">
        <v>26</v>
      </c>
      <c r="B318" t="s">
        <v>1259</v>
      </c>
      <c r="C318" t="s">
        <v>1260</v>
      </c>
      <c r="D318" t="s">
        <v>18</v>
      </c>
      <c r="E318" t="s">
        <v>19</v>
      </c>
      <c r="F318" t="s">
        <v>1261</v>
      </c>
      <c r="G318" t="s">
        <v>1262</v>
      </c>
      <c r="H318">
        <v>0</v>
      </c>
      <c r="I318">
        <v>375</v>
      </c>
      <c r="J318">
        <v>433</v>
      </c>
      <c r="K318">
        <v>508</v>
      </c>
      <c r="L318">
        <v>0</v>
      </c>
      <c r="M318">
        <v>250</v>
      </c>
      <c r="N318">
        <v>0</v>
      </c>
      <c r="O318">
        <v>0</v>
      </c>
    </row>
    <row r="319" spans="1:15" x14ac:dyDescent="0.3">
      <c r="A319" t="s">
        <v>26</v>
      </c>
      <c r="B319" t="s">
        <v>1263</v>
      </c>
      <c r="C319" t="s">
        <v>1264</v>
      </c>
      <c r="D319" t="s">
        <v>18</v>
      </c>
      <c r="E319" t="s">
        <v>19</v>
      </c>
      <c r="F319" t="s">
        <v>1265</v>
      </c>
      <c r="G319" t="s">
        <v>1266</v>
      </c>
      <c r="H319">
        <v>0</v>
      </c>
      <c r="I319">
        <v>250</v>
      </c>
      <c r="J319">
        <v>0</v>
      </c>
      <c r="K319">
        <v>0</v>
      </c>
      <c r="L319">
        <v>0</v>
      </c>
      <c r="M319">
        <v>250</v>
      </c>
      <c r="N319">
        <v>0</v>
      </c>
      <c r="O319">
        <v>0</v>
      </c>
    </row>
    <row r="320" spans="1:15" x14ac:dyDescent="0.3">
      <c r="A320" t="s">
        <v>26</v>
      </c>
      <c r="B320" t="s">
        <v>1267</v>
      </c>
      <c r="C320" t="s">
        <v>1268</v>
      </c>
      <c r="D320" t="s">
        <v>18</v>
      </c>
      <c r="E320" t="s">
        <v>19</v>
      </c>
      <c r="F320" t="s">
        <v>1269</v>
      </c>
      <c r="G320" t="s">
        <v>1270</v>
      </c>
      <c r="H320">
        <v>0</v>
      </c>
      <c r="I320">
        <v>250</v>
      </c>
      <c r="J320">
        <v>0</v>
      </c>
      <c r="K320">
        <v>0</v>
      </c>
      <c r="L320">
        <v>0</v>
      </c>
      <c r="M320">
        <v>250</v>
      </c>
      <c r="N320">
        <v>0</v>
      </c>
      <c r="O320">
        <v>0</v>
      </c>
    </row>
    <row r="321" spans="1:15" x14ac:dyDescent="0.3">
      <c r="A321" t="s">
        <v>26</v>
      </c>
      <c r="B321" t="s">
        <v>1271</v>
      </c>
      <c r="C321" t="s">
        <v>1272</v>
      </c>
      <c r="D321" t="s">
        <v>18</v>
      </c>
      <c r="E321" t="s">
        <v>19</v>
      </c>
      <c r="F321" t="s">
        <v>1273</v>
      </c>
      <c r="G321" t="s">
        <v>1274</v>
      </c>
      <c r="H321">
        <v>0</v>
      </c>
      <c r="I321">
        <v>250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3">
      <c r="A322" t="s">
        <v>26</v>
      </c>
      <c r="B322" t="s">
        <v>1275</v>
      </c>
      <c r="C322" t="s">
        <v>1276</v>
      </c>
      <c r="D322" t="s">
        <v>18</v>
      </c>
      <c r="E322" t="s">
        <v>19</v>
      </c>
      <c r="F322" t="s">
        <v>1277</v>
      </c>
      <c r="G322" t="s">
        <v>1278</v>
      </c>
      <c r="H322">
        <v>0</v>
      </c>
      <c r="I322">
        <v>661</v>
      </c>
      <c r="J322">
        <v>0</v>
      </c>
      <c r="K322">
        <v>0</v>
      </c>
      <c r="L322">
        <v>0</v>
      </c>
      <c r="M322">
        <v>661</v>
      </c>
      <c r="N322">
        <v>0</v>
      </c>
      <c r="O322">
        <v>0</v>
      </c>
    </row>
    <row r="323" spans="1:15" x14ac:dyDescent="0.3">
      <c r="A323" t="s">
        <v>26</v>
      </c>
      <c r="B323" t="s">
        <v>1279</v>
      </c>
      <c r="C323" t="s">
        <v>1280</v>
      </c>
      <c r="D323" t="s">
        <v>18</v>
      </c>
      <c r="E323" t="s">
        <v>19</v>
      </c>
      <c r="F323" t="s">
        <v>1281</v>
      </c>
      <c r="G323" t="s">
        <v>1282</v>
      </c>
      <c r="H323">
        <v>0</v>
      </c>
      <c r="I323">
        <v>250</v>
      </c>
      <c r="J323">
        <v>0</v>
      </c>
      <c r="K323">
        <v>0</v>
      </c>
      <c r="L323">
        <v>0</v>
      </c>
      <c r="M323">
        <v>250</v>
      </c>
      <c r="N323">
        <v>0</v>
      </c>
      <c r="O323">
        <v>0</v>
      </c>
    </row>
    <row r="324" spans="1:15" x14ac:dyDescent="0.3">
      <c r="A324" t="s">
        <v>26</v>
      </c>
      <c r="B324" t="s">
        <v>1283</v>
      </c>
      <c r="C324" t="s">
        <v>1284</v>
      </c>
      <c r="D324" t="s">
        <v>18</v>
      </c>
      <c r="E324" t="s">
        <v>19</v>
      </c>
      <c r="F324" t="s">
        <v>1285</v>
      </c>
      <c r="G324" t="s">
        <v>1286</v>
      </c>
      <c r="H324">
        <v>0</v>
      </c>
      <c r="I324">
        <v>250</v>
      </c>
      <c r="J324">
        <v>0</v>
      </c>
      <c r="K324">
        <v>0</v>
      </c>
      <c r="L324">
        <v>0</v>
      </c>
      <c r="M324">
        <v>250</v>
      </c>
      <c r="N324">
        <v>0</v>
      </c>
      <c r="O324">
        <v>0</v>
      </c>
    </row>
    <row r="325" spans="1:15" x14ac:dyDescent="0.3">
      <c r="A325" t="s">
        <v>26</v>
      </c>
      <c r="B325" t="s">
        <v>1287</v>
      </c>
      <c r="C325" t="s">
        <v>1288</v>
      </c>
      <c r="D325" t="s">
        <v>18</v>
      </c>
      <c r="E325" t="s">
        <v>19</v>
      </c>
      <c r="F325" t="s">
        <v>1289</v>
      </c>
      <c r="G325" t="s">
        <v>1290</v>
      </c>
      <c r="H325">
        <v>0</v>
      </c>
      <c r="I325">
        <v>250</v>
      </c>
      <c r="J325">
        <v>0</v>
      </c>
      <c r="K325">
        <v>0</v>
      </c>
      <c r="L325">
        <v>0</v>
      </c>
      <c r="M325">
        <v>250</v>
      </c>
      <c r="N325">
        <v>0</v>
      </c>
      <c r="O325">
        <v>0</v>
      </c>
    </row>
    <row r="326" spans="1:15" x14ac:dyDescent="0.3">
      <c r="A326" t="s">
        <v>26</v>
      </c>
      <c r="B326" t="s">
        <v>1291</v>
      </c>
      <c r="C326" t="s">
        <v>1292</v>
      </c>
      <c r="D326" t="s">
        <v>18</v>
      </c>
      <c r="E326" t="s">
        <v>19</v>
      </c>
      <c r="F326" t="s">
        <v>1293</v>
      </c>
      <c r="G326" t="s">
        <v>1294</v>
      </c>
      <c r="H326">
        <v>0</v>
      </c>
      <c r="I326">
        <v>250</v>
      </c>
      <c r="J326">
        <v>0</v>
      </c>
      <c r="K326">
        <v>0</v>
      </c>
      <c r="L326">
        <v>0</v>
      </c>
      <c r="M326">
        <v>250</v>
      </c>
      <c r="N326">
        <v>0</v>
      </c>
      <c r="O326">
        <v>0</v>
      </c>
    </row>
    <row r="327" spans="1:15" x14ac:dyDescent="0.3">
      <c r="A327" t="s">
        <v>26</v>
      </c>
      <c r="B327" t="s">
        <v>1295</v>
      </c>
      <c r="C327" t="s">
        <v>1296</v>
      </c>
      <c r="D327" t="s">
        <v>18</v>
      </c>
      <c r="E327" t="s">
        <v>19</v>
      </c>
      <c r="F327" t="s">
        <v>1297</v>
      </c>
      <c r="G327">
        <f>254726633439 / 254726633439</f>
        <v>1</v>
      </c>
      <c r="H327">
        <v>0</v>
      </c>
      <c r="I327">
        <v>250</v>
      </c>
      <c r="J327">
        <v>0</v>
      </c>
      <c r="K327">
        <v>0</v>
      </c>
      <c r="L327">
        <v>0</v>
      </c>
      <c r="M327">
        <v>250</v>
      </c>
      <c r="N327">
        <v>0</v>
      </c>
      <c r="O327">
        <v>0</v>
      </c>
    </row>
    <row r="328" spans="1:15" x14ac:dyDescent="0.3">
      <c r="A328" t="s">
        <v>26</v>
      </c>
      <c r="B328" t="s">
        <v>1298</v>
      </c>
      <c r="C328" t="s">
        <v>1299</v>
      </c>
      <c r="D328" t="s">
        <v>18</v>
      </c>
      <c r="E328" t="s">
        <v>19</v>
      </c>
      <c r="F328" t="s">
        <v>1300</v>
      </c>
      <c r="G328" t="s">
        <v>1301</v>
      </c>
      <c r="H328">
        <v>0</v>
      </c>
      <c r="I328">
        <v>250</v>
      </c>
      <c r="J328">
        <v>0</v>
      </c>
      <c r="K328">
        <v>0</v>
      </c>
      <c r="L328">
        <v>0</v>
      </c>
      <c r="M328">
        <v>250</v>
      </c>
      <c r="N328">
        <v>0</v>
      </c>
      <c r="O328">
        <v>0</v>
      </c>
    </row>
    <row r="329" spans="1:15" x14ac:dyDescent="0.3">
      <c r="A329" t="s">
        <v>26</v>
      </c>
      <c r="B329" t="s">
        <v>1302</v>
      </c>
      <c r="C329" t="s">
        <v>1303</v>
      </c>
      <c r="D329" t="s">
        <v>18</v>
      </c>
      <c r="E329" t="s">
        <v>19</v>
      </c>
      <c r="F329" t="s">
        <v>1304</v>
      </c>
      <c r="G329" t="s">
        <v>1305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3">
      <c r="A330" t="s">
        <v>26</v>
      </c>
      <c r="B330" t="s">
        <v>1306</v>
      </c>
      <c r="C330" t="s">
        <v>1307</v>
      </c>
      <c r="D330" t="s">
        <v>18</v>
      </c>
      <c r="E330" t="s">
        <v>19</v>
      </c>
      <c r="F330" t="s">
        <v>1308</v>
      </c>
      <c r="G330" t="s">
        <v>1309</v>
      </c>
      <c r="H330">
        <v>0</v>
      </c>
      <c r="I330">
        <v>1169</v>
      </c>
      <c r="J330">
        <v>1794</v>
      </c>
      <c r="K330">
        <v>1514</v>
      </c>
      <c r="L330">
        <v>0</v>
      </c>
      <c r="M330">
        <v>1169</v>
      </c>
      <c r="N330">
        <v>0</v>
      </c>
      <c r="O330">
        <v>0</v>
      </c>
    </row>
    <row r="331" spans="1:15" x14ac:dyDescent="0.3">
      <c r="A331" t="s">
        <v>26</v>
      </c>
      <c r="B331" t="s">
        <v>1310</v>
      </c>
      <c r="C331" t="s">
        <v>1311</v>
      </c>
      <c r="D331" t="s">
        <v>18</v>
      </c>
      <c r="E331" t="s">
        <v>19</v>
      </c>
      <c r="F331" t="s">
        <v>1312</v>
      </c>
      <c r="G331" t="s">
        <v>1313</v>
      </c>
      <c r="H331">
        <v>0</v>
      </c>
      <c r="I331">
        <v>250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3">
      <c r="A332" t="s">
        <v>26</v>
      </c>
      <c r="B332" t="s">
        <v>1314</v>
      </c>
      <c r="C332" t="s">
        <v>1315</v>
      </c>
      <c r="D332" t="s">
        <v>18</v>
      </c>
      <c r="E332" t="s">
        <v>19</v>
      </c>
      <c r="F332" t="s">
        <v>1316</v>
      </c>
      <c r="G332" t="s">
        <v>1317</v>
      </c>
      <c r="H332">
        <v>0</v>
      </c>
      <c r="I332">
        <v>250</v>
      </c>
      <c r="J332">
        <v>731</v>
      </c>
      <c r="K332">
        <v>0</v>
      </c>
      <c r="L332">
        <v>0</v>
      </c>
      <c r="M332">
        <v>250</v>
      </c>
      <c r="N332">
        <v>0</v>
      </c>
      <c r="O332">
        <v>0</v>
      </c>
    </row>
    <row r="333" spans="1:15" x14ac:dyDescent="0.3">
      <c r="A333" t="s">
        <v>26</v>
      </c>
      <c r="B333" t="s">
        <v>1318</v>
      </c>
      <c r="C333" t="s">
        <v>1319</v>
      </c>
      <c r="D333" t="s">
        <v>18</v>
      </c>
      <c r="E333" t="s">
        <v>19</v>
      </c>
      <c r="F333" t="s">
        <v>1320</v>
      </c>
      <c r="G333" t="s">
        <v>1321</v>
      </c>
      <c r="H333">
        <v>0</v>
      </c>
      <c r="I333">
        <v>250</v>
      </c>
      <c r="J333">
        <v>0</v>
      </c>
      <c r="K333">
        <v>0</v>
      </c>
      <c r="L333">
        <v>0</v>
      </c>
      <c r="M333">
        <v>250</v>
      </c>
      <c r="N333">
        <v>0</v>
      </c>
      <c r="O333">
        <v>0</v>
      </c>
    </row>
    <row r="334" spans="1:15" x14ac:dyDescent="0.3">
      <c r="A334" t="s">
        <v>26</v>
      </c>
      <c r="B334" t="s">
        <v>1322</v>
      </c>
      <c r="C334" t="s">
        <v>1323</v>
      </c>
      <c r="D334" t="s">
        <v>18</v>
      </c>
      <c r="E334" t="s">
        <v>19</v>
      </c>
      <c r="F334" t="s">
        <v>1324</v>
      </c>
      <c r="G334" t="s">
        <v>1325</v>
      </c>
      <c r="H334">
        <v>0</v>
      </c>
      <c r="I334">
        <v>250</v>
      </c>
      <c r="J334">
        <v>0</v>
      </c>
      <c r="K334">
        <v>0</v>
      </c>
      <c r="L334">
        <v>0</v>
      </c>
      <c r="M334">
        <v>250</v>
      </c>
      <c r="N334">
        <v>0</v>
      </c>
      <c r="O334">
        <v>0</v>
      </c>
    </row>
    <row r="335" spans="1:15" x14ac:dyDescent="0.3">
      <c r="A335" t="s">
        <v>26</v>
      </c>
      <c r="B335" t="s">
        <v>1326</v>
      </c>
      <c r="C335" t="s">
        <v>1327</v>
      </c>
      <c r="D335" t="s">
        <v>18</v>
      </c>
      <c r="E335" t="s">
        <v>19</v>
      </c>
      <c r="F335" t="s">
        <v>1328</v>
      </c>
      <c r="G335" t="s">
        <v>1329</v>
      </c>
      <c r="H335">
        <v>0</v>
      </c>
      <c r="I335">
        <v>250</v>
      </c>
      <c r="J335">
        <v>0</v>
      </c>
      <c r="K335">
        <v>0</v>
      </c>
      <c r="L335">
        <v>0</v>
      </c>
      <c r="M335">
        <v>250</v>
      </c>
      <c r="N335">
        <v>0</v>
      </c>
      <c r="O335">
        <v>0</v>
      </c>
    </row>
    <row r="336" spans="1:15" x14ac:dyDescent="0.3">
      <c r="A336" t="s">
        <v>26</v>
      </c>
      <c r="B336" t="s">
        <v>1330</v>
      </c>
      <c r="C336" t="s">
        <v>1331</v>
      </c>
      <c r="D336" t="s">
        <v>18</v>
      </c>
      <c r="E336" t="s">
        <v>19</v>
      </c>
      <c r="F336" t="s">
        <v>1332</v>
      </c>
      <c r="G336" t="s">
        <v>1333</v>
      </c>
      <c r="H336">
        <v>0</v>
      </c>
      <c r="I336">
        <v>250</v>
      </c>
      <c r="J336">
        <v>1170</v>
      </c>
      <c r="K336">
        <v>0</v>
      </c>
      <c r="L336">
        <v>0</v>
      </c>
      <c r="M336">
        <v>250</v>
      </c>
      <c r="N336">
        <v>0</v>
      </c>
      <c r="O336">
        <v>0</v>
      </c>
    </row>
    <row r="337" spans="1:15" x14ac:dyDescent="0.3">
      <c r="A337" t="s">
        <v>26</v>
      </c>
      <c r="B337" t="s">
        <v>1334</v>
      </c>
      <c r="C337" t="s">
        <v>1335</v>
      </c>
      <c r="D337" t="s">
        <v>18</v>
      </c>
      <c r="E337" t="s">
        <v>19</v>
      </c>
      <c r="F337" t="s">
        <v>1336</v>
      </c>
      <c r="G337">
        <f>254721588625 / 254721588625</f>
        <v>1</v>
      </c>
      <c r="H337">
        <v>0</v>
      </c>
      <c r="I337">
        <v>250</v>
      </c>
      <c r="J337">
        <v>0</v>
      </c>
      <c r="K337">
        <v>0</v>
      </c>
      <c r="L337">
        <v>0</v>
      </c>
      <c r="M337">
        <v>250</v>
      </c>
      <c r="N337">
        <v>0</v>
      </c>
      <c r="O337">
        <v>0</v>
      </c>
    </row>
    <row r="338" spans="1:15" x14ac:dyDescent="0.3">
      <c r="A338" t="s">
        <v>26</v>
      </c>
      <c r="B338" t="s">
        <v>1337</v>
      </c>
      <c r="C338" t="s">
        <v>1338</v>
      </c>
      <c r="D338" t="s">
        <v>18</v>
      </c>
      <c r="E338" t="s">
        <v>19</v>
      </c>
      <c r="F338" t="s">
        <v>1339</v>
      </c>
      <c r="G338" t="s">
        <v>1340</v>
      </c>
      <c r="H338">
        <v>0</v>
      </c>
      <c r="I338">
        <v>250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3">
      <c r="A339" t="s">
        <v>26</v>
      </c>
      <c r="B339" t="s">
        <v>1341</v>
      </c>
      <c r="C339" t="s">
        <v>1342</v>
      </c>
      <c r="D339" t="s">
        <v>18</v>
      </c>
      <c r="E339" t="s">
        <v>19</v>
      </c>
      <c r="F339" t="s">
        <v>1343</v>
      </c>
      <c r="G339" t="s">
        <v>1344</v>
      </c>
      <c r="H339">
        <v>0</v>
      </c>
      <c r="I339">
        <v>250</v>
      </c>
      <c r="J339">
        <v>360</v>
      </c>
      <c r="K339">
        <v>0</v>
      </c>
      <c r="L339">
        <v>0</v>
      </c>
      <c r="M339">
        <v>250</v>
      </c>
      <c r="N339">
        <v>0</v>
      </c>
      <c r="O339">
        <v>0</v>
      </c>
    </row>
    <row r="340" spans="1:15" x14ac:dyDescent="0.3">
      <c r="A340" t="s">
        <v>26</v>
      </c>
      <c r="B340" t="s">
        <v>1345</v>
      </c>
      <c r="C340" t="s">
        <v>1346</v>
      </c>
      <c r="D340" t="s">
        <v>18</v>
      </c>
      <c r="E340" t="s">
        <v>19</v>
      </c>
      <c r="F340" t="s">
        <v>1347</v>
      </c>
      <c r="G340" t="s">
        <v>1348</v>
      </c>
      <c r="H340">
        <v>0</v>
      </c>
      <c r="I340">
        <v>250</v>
      </c>
      <c r="J340">
        <v>1684</v>
      </c>
      <c r="K340">
        <v>0</v>
      </c>
      <c r="L340">
        <v>0</v>
      </c>
      <c r="M340">
        <v>250</v>
      </c>
      <c r="N340">
        <v>0</v>
      </c>
      <c r="O340">
        <v>0</v>
      </c>
    </row>
    <row r="341" spans="1:15" x14ac:dyDescent="0.3">
      <c r="A341" t="s">
        <v>26</v>
      </c>
      <c r="B341" t="s">
        <v>1349</v>
      </c>
      <c r="C341" t="s">
        <v>1350</v>
      </c>
      <c r="D341" t="s">
        <v>18</v>
      </c>
      <c r="E341" t="s">
        <v>19</v>
      </c>
      <c r="F341" t="s">
        <v>1351</v>
      </c>
      <c r="G341" t="s">
        <v>1352</v>
      </c>
      <c r="H341">
        <v>0</v>
      </c>
      <c r="I341">
        <v>730</v>
      </c>
      <c r="J341">
        <v>0</v>
      </c>
      <c r="K341">
        <v>0</v>
      </c>
      <c r="L341">
        <v>0</v>
      </c>
      <c r="M341">
        <v>730</v>
      </c>
      <c r="N341">
        <v>0</v>
      </c>
      <c r="O341">
        <v>0</v>
      </c>
    </row>
    <row r="342" spans="1:15" x14ac:dyDescent="0.3">
      <c r="A342" t="s">
        <v>26</v>
      </c>
      <c r="B342" t="s">
        <v>1353</v>
      </c>
      <c r="C342" t="s">
        <v>1354</v>
      </c>
      <c r="D342" t="s">
        <v>18</v>
      </c>
      <c r="E342" t="s">
        <v>19</v>
      </c>
      <c r="F342" t="s">
        <v>1355</v>
      </c>
      <c r="G342" t="s">
        <v>1356</v>
      </c>
      <c r="H342">
        <v>0</v>
      </c>
      <c r="I342">
        <v>250</v>
      </c>
      <c r="J342">
        <v>0</v>
      </c>
      <c r="K342">
        <v>0</v>
      </c>
      <c r="L342">
        <v>0</v>
      </c>
      <c r="M342">
        <v>250</v>
      </c>
      <c r="N342">
        <v>0</v>
      </c>
      <c r="O342">
        <v>0</v>
      </c>
    </row>
    <row r="343" spans="1:15" x14ac:dyDescent="0.3">
      <c r="A343" t="s">
        <v>26</v>
      </c>
      <c r="B343" t="s">
        <v>1357</v>
      </c>
      <c r="C343" t="s">
        <v>1358</v>
      </c>
      <c r="D343" t="s">
        <v>18</v>
      </c>
      <c r="E343" t="s">
        <v>19</v>
      </c>
      <c r="F343" t="s">
        <v>1359</v>
      </c>
      <c r="G343" t="s">
        <v>1360</v>
      </c>
      <c r="H343">
        <v>0</v>
      </c>
      <c r="I343">
        <v>250</v>
      </c>
      <c r="J343">
        <v>0</v>
      </c>
      <c r="K343">
        <v>0</v>
      </c>
      <c r="L343">
        <v>0</v>
      </c>
      <c r="M343">
        <v>250</v>
      </c>
      <c r="N343">
        <v>0</v>
      </c>
      <c r="O343">
        <v>0</v>
      </c>
    </row>
    <row r="344" spans="1:15" x14ac:dyDescent="0.3">
      <c r="A344" t="s">
        <v>26</v>
      </c>
      <c r="B344" t="s">
        <v>1361</v>
      </c>
      <c r="C344" t="s">
        <v>1362</v>
      </c>
      <c r="D344" t="s">
        <v>18</v>
      </c>
      <c r="E344" t="s">
        <v>19</v>
      </c>
      <c r="F344" t="s">
        <v>1363</v>
      </c>
      <c r="G344" t="s">
        <v>1364</v>
      </c>
      <c r="H344">
        <v>0</v>
      </c>
      <c r="I344">
        <v>250</v>
      </c>
      <c r="J344">
        <v>0</v>
      </c>
      <c r="K344">
        <v>0</v>
      </c>
      <c r="L344">
        <v>0</v>
      </c>
      <c r="M344">
        <v>250</v>
      </c>
      <c r="N344">
        <v>0</v>
      </c>
      <c r="O344">
        <v>0</v>
      </c>
    </row>
    <row r="345" spans="1:15" x14ac:dyDescent="0.3">
      <c r="A345" t="s">
        <v>26</v>
      </c>
      <c r="B345" t="s">
        <v>1365</v>
      </c>
      <c r="C345" t="s">
        <v>1366</v>
      </c>
      <c r="D345" t="s">
        <v>18</v>
      </c>
      <c r="E345" t="s">
        <v>19</v>
      </c>
      <c r="F345" t="s">
        <v>1367</v>
      </c>
      <c r="G345" t="s">
        <v>1368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3">
      <c r="A346" t="s">
        <v>26</v>
      </c>
      <c r="B346" t="s">
        <v>1369</v>
      </c>
      <c r="C346" t="s">
        <v>1370</v>
      </c>
      <c r="D346" t="s">
        <v>18</v>
      </c>
      <c r="E346" t="s">
        <v>19</v>
      </c>
      <c r="F346" t="s">
        <v>1371</v>
      </c>
      <c r="G346" t="s">
        <v>1372</v>
      </c>
      <c r="H346">
        <v>0</v>
      </c>
      <c r="I346">
        <v>250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3">
      <c r="A347" t="s">
        <v>26</v>
      </c>
      <c r="B347" t="s">
        <v>1373</v>
      </c>
      <c r="C347" t="s">
        <v>1374</v>
      </c>
      <c r="D347" t="s">
        <v>18</v>
      </c>
      <c r="E347" t="s">
        <v>19</v>
      </c>
      <c r="F347" t="s">
        <v>1375</v>
      </c>
      <c r="G347" t="s">
        <v>1376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3">
      <c r="A348" t="s">
        <v>26</v>
      </c>
      <c r="B348" t="s">
        <v>1377</v>
      </c>
      <c r="C348" t="s">
        <v>1378</v>
      </c>
      <c r="D348" t="s">
        <v>18</v>
      </c>
      <c r="E348" t="s">
        <v>19</v>
      </c>
      <c r="F348" t="s">
        <v>1379</v>
      </c>
      <c r="G348" t="s">
        <v>1380</v>
      </c>
      <c r="H348">
        <v>0</v>
      </c>
      <c r="I348">
        <v>4754</v>
      </c>
      <c r="J348">
        <v>2920</v>
      </c>
      <c r="K348">
        <v>246</v>
      </c>
      <c r="L348">
        <v>0</v>
      </c>
      <c r="M348">
        <v>4754</v>
      </c>
      <c r="N348">
        <v>813</v>
      </c>
      <c r="O348">
        <v>0</v>
      </c>
    </row>
    <row r="349" spans="1:15" x14ac:dyDescent="0.3">
      <c r="A349" t="s">
        <v>26</v>
      </c>
      <c r="B349" t="s">
        <v>1381</v>
      </c>
      <c r="C349" t="s">
        <v>1382</v>
      </c>
      <c r="D349" t="s">
        <v>18</v>
      </c>
      <c r="E349" t="s">
        <v>19</v>
      </c>
      <c r="F349" t="s">
        <v>1383</v>
      </c>
      <c r="G349" t="s">
        <v>1384</v>
      </c>
      <c r="H349">
        <v>0</v>
      </c>
      <c r="I349">
        <v>250</v>
      </c>
      <c r="J349">
        <v>0</v>
      </c>
      <c r="K349">
        <v>0</v>
      </c>
      <c r="L349">
        <v>0</v>
      </c>
      <c r="M349">
        <v>250</v>
      </c>
      <c r="N349">
        <v>0</v>
      </c>
      <c r="O349">
        <v>0</v>
      </c>
    </row>
    <row r="350" spans="1:15" x14ac:dyDescent="0.3">
      <c r="A350" t="s">
        <v>26</v>
      </c>
      <c r="B350" t="s">
        <v>1385</v>
      </c>
      <c r="C350" t="s">
        <v>1386</v>
      </c>
      <c r="D350" t="s">
        <v>18</v>
      </c>
      <c r="E350" t="s">
        <v>19</v>
      </c>
      <c r="F350" t="s">
        <v>1387</v>
      </c>
      <c r="G350" t="s">
        <v>1388</v>
      </c>
      <c r="H350">
        <v>0</v>
      </c>
      <c r="I350">
        <v>8190</v>
      </c>
      <c r="J350">
        <v>10865</v>
      </c>
      <c r="K350">
        <v>0</v>
      </c>
      <c r="L350">
        <v>0</v>
      </c>
      <c r="M350">
        <v>2464</v>
      </c>
      <c r="N350">
        <v>1167</v>
      </c>
      <c r="O350">
        <v>0</v>
      </c>
    </row>
    <row r="351" spans="1:15" x14ac:dyDescent="0.3">
      <c r="A351" t="s">
        <v>26</v>
      </c>
      <c r="B351" t="s">
        <v>1389</v>
      </c>
      <c r="C351" t="s">
        <v>1390</v>
      </c>
      <c r="D351" t="s">
        <v>18</v>
      </c>
      <c r="E351" t="s">
        <v>19</v>
      </c>
      <c r="F351" t="s">
        <v>1391</v>
      </c>
      <c r="G351" t="s">
        <v>1392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3">
      <c r="A352" t="s">
        <v>26</v>
      </c>
      <c r="B352" t="s">
        <v>1393</v>
      </c>
      <c r="C352" t="s">
        <v>1394</v>
      </c>
      <c r="D352" t="s">
        <v>18</v>
      </c>
      <c r="E352" t="s">
        <v>19</v>
      </c>
      <c r="F352" t="s">
        <v>1395</v>
      </c>
      <c r="G352" t="s">
        <v>1396</v>
      </c>
      <c r="H352">
        <v>3506</v>
      </c>
      <c r="I352">
        <v>1576</v>
      </c>
      <c r="J352">
        <v>25705</v>
      </c>
      <c r="K352">
        <v>0</v>
      </c>
      <c r="L352">
        <v>0</v>
      </c>
      <c r="M352">
        <v>1576</v>
      </c>
      <c r="N352">
        <v>0</v>
      </c>
      <c r="O352">
        <v>0</v>
      </c>
    </row>
    <row r="353" spans="1:15" x14ac:dyDescent="0.3">
      <c r="A353" t="s">
        <v>26</v>
      </c>
      <c r="B353" t="s">
        <v>1397</v>
      </c>
      <c r="C353" t="s">
        <v>1398</v>
      </c>
      <c r="D353" t="s">
        <v>18</v>
      </c>
      <c r="E353" t="s">
        <v>19</v>
      </c>
      <c r="F353" t="s">
        <v>1399</v>
      </c>
      <c r="G353" t="s">
        <v>1400</v>
      </c>
      <c r="H353">
        <v>0</v>
      </c>
      <c r="I353">
        <v>250</v>
      </c>
      <c r="J353">
        <v>0</v>
      </c>
      <c r="K353">
        <v>0</v>
      </c>
      <c r="L353">
        <v>0</v>
      </c>
      <c r="M353">
        <v>250</v>
      </c>
      <c r="N353">
        <v>0</v>
      </c>
      <c r="O353">
        <v>0</v>
      </c>
    </row>
    <row r="354" spans="1:15" x14ac:dyDescent="0.3">
      <c r="A354" t="s">
        <v>26</v>
      </c>
      <c r="B354" t="s">
        <v>1401</v>
      </c>
      <c r="C354" t="s">
        <v>1402</v>
      </c>
      <c r="D354" t="s">
        <v>18</v>
      </c>
      <c r="E354" t="s">
        <v>19</v>
      </c>
      <c r="F354" t="s">
        <v>1403</v>
      </c>
      <c r="G354" t="s">
        <v>1404</v>
      </c>
      <c r="H354">
        <v>0</v>
      </c>
      <c r="I354">
        <v>250</v>
      </c>
      <c r="J354">
        <v>210</v>
      </c>
      <c r="K354">
        <v>699</v>
      </c>
      <c r="L354">
        <v>0</v>
      </c>
      <c r="M354">
        <v>250</v>
      </c>
      <c r="N354">
        <v>0</v>
      </c>
      <c r="O354">
        <v>0</v>
      </c>
    </row>
    <row r="355" spans="1:15" x14ac:dyDescent="0.3">
      <c r="A355" t="s">
        <v>26</v>
      </c>
      <c r="B355" t="s">
        <v>1405</v>
      </c>
      <c r="C355" t="s">
        <v>1406</v>
      </c>
      <c r="D355" t="s">
        <v>18</v>
      </c>
      <c r="E355" t="s">
        <v>19</v>
      </c>
      <c r="F355" t="s">
        <v>1407</v>
      </c>
      <c r="G355" t="s">
        <v>1408</v>
      </c>
      <c r="H355">
        <v>0</v>
      </c>
      <c r="I355">
        <v>250</v>
      </c>
      <c r="J355">
        <v>1280</v>
      </c>
      <c r="K355">
        <v>0</v>
      </c>
      <c r="L355">
        <v>0</v>
      </c>
      <c r="M355">
        <v>250</v>
      </c>
      <c r="N355">
        <v>0</v>
      </c>
      <c r="O355">
        <v>0</v>
      </c>
    </row>
    <row r="356" spans="1:15" x14ac:dyDescent="0.3">
      <c r="A356" t="s">
        <v>26</v>
      </c>
      <c r="B356" t="s">
        <v>1409</v>
      </c>
      <c r="C356" t="s">
        <v>1410</v>
      </c>
      <c r="D356" t="s">
        <v>18</v>
      </c>
      <c r="E356" t="s">
        <v>19</v>
      </c>
      <c r="F356" t="s">
        <v>1411</v>
      </c>
      <c r="G356" t="s">
        <v>1412</v>
      </c>
      <c r="H356">
        <v>0</v>
      </c>
      <c r="I356">
        <v>250</v>
      </c>
      <c r="J356">
        <v>0</v>
      </c>
      <c r="K356">
        <v>0</v>
      </c>
      <c r="L356">
        <v>0</v>
      </c>
      <c r="M356">
        <v>250</v>
      </c>
      <c r="N356">
        <v>0</v>
      </c>
      <c r="O356">
        <v>0</v>
      </c>
    </row>
    <row r="357" spans="1:15" x14ac:dyDescent="0.3">
      <c r="A357" t="s">
        <v>26</v>
      </c>
      <c r="B357" t="s">
        <v>1413</v>
      </c>
      <c r="C357" t="s">
        <v>1414</v>
      </c>
      <c r="D357" t="s">
        <v>18</v>
      </c>
      <c r="E357" t="s">
        <v>19</v>
      </c>
      <c r="F357" t="s">
        <v>1415</v>
      </c>
      <c r="G357" t="s">
        <v>1416</v>
      </c>
      <c r="H357">
        <v>0</v>
      </c>
      <c r="I357">
        <v>250</v>
      </c>
      <c r="J357">
        <v>4871</v>
      </c>
      <c r="K357">
        <v>1308</v>
      </c>
      <c r="L357">
        <v>0</v>
      </c>
      <c r="M357">
        <v>250</v>
      </c>
      <c r="N357">
        <v>0</v>
      </c>
      <c r="O357">
        <v>0</v>
      </c>
    </row>
    <row r="358" spans="1:15" x14ac:dyDescent="0.3">
      <c r="A358" t="s">
        <v>26</v>
      </c>
      <c r="B358" t="s">
        <v>1417</v>
      </c>
      <c r="C358" t="s">
        <v>1418</v>
      </c>
      <c r="D358" t="s">
        <v>18</v>
      </c>
      <c r="E358" t="s">
        <v>19</v>
      </c>
      <c r="F358" t="s">
        <v>1419</v>
      </c>
      <c r="G358" t="s">
        <v>1420</v>
      </c>
      <c r="H358">
        <v>0</v>
      </c>
      <c r="I358">
        <v>250</v>
      </c>
      <c r="J358">
        <v>0</v>
      </c>
      <c r="K358">
        <v>0</v>
      </c>
      <c r="L358">
        <v>0</v>
      </c>
      <c r="M358">
        <v>250</v>
      </c>
      <c r="N358">
        <v>0</v>
      </c>
      <c r="O358">
        <v>0</v>
      </c>
    </row>
    <row r="359" spans="1:15" x14ac:dyDescent="0.3">
      <c r="A359" t="s">
        <v>26</v>
      </c>
      <c r="B359" t="s">
        <v>1421</v>
      </c>
      <c r="C359" t="s">
        <v>1422</v>
      </c>
      <c r="D359" t="s">
        <v>18</v>
      </c>
      <c r="E359" t="s">
        <v>19</v>
      </c>
      <c r="F359" t="s">
        <v>1423</v>
      </c>
      <c r="G359" t="s">
        <v>1424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3">
      <c r="A360" t="s">
        <v>26</v>
      </c>
      <c r="B360" t="s">
        <v>1425</v>
      </c>
      <c r="C360" t="s">
        <v>1426</v>
      </c>
      <c r="D360" t="s">
        <v>18</v>
      </c>
      <c r="E360" t="s">
        <v>19</v>
      </c>
      <c r="F360" t="s">
        <v>1427</v>
      </c>
      <c r="G360" t="s">
        <v>1428</v>
      </c>
      <c r="H360">
        <v>0</v>
      </c>
      <c r="I360">
        <v>250</v>
      </c>
      <c r="J360">
        <v>0</v>
      </c>
      <c r="K360">
        <v>0</v>
      </c>
      <c r="L360">
        <v>0</v>
      </c>
      <c r="M360">
        <v>250</v>
      </c>
      <c r="N360">
        <v>0</v>
      </c>
      <c r="O360">
        <v>0</v>
      </c>
    </row>
    <row r="361" spans="1:15" x14ac:dyDescent="0.3">
      <c r="A361" t="s">
        <v>26</v>
      </c>
      <c r="B361" t="s">
        <v>1429</v>
      </c>
      <c r="C361" t="s">
        <v>1430</v>
      </c>
      <c r="D361" t="s">
        <v>18</v>
      </c>
      <c r="E361" t="s">
        <v>19</v>
      </c>
      <c r="F361" t="s">
        <v>1431</v>
      </c>
      <c r="G361" t="s">
        <v>1432</v>
      </c>
      <c r="H361">
        <v>0</v>
      </c>
      <c r="I361">
        <v>250</v>
      </c>
      <c r="J361">
        <v>936</v>
      </c>
      <c r="K361">
        <v>0</v>
      </c>
      <c r="L361">
        <v>0</v>
      </c>
      <c r="M361">
        <v>250</v>
      </c>
      <c r="N361">
        <v>0</v>
      </c>
      <c r="O361">
        <v>0</v>
      </c>
    </row>
    <row r="362" spans="1:15" x14ac:dyDescent="0.3">
      <c r="A362" t="s">
        <v>26</v>
      </c>
      <c r="B362" t="s">
        <v>1433</v>
      </c>
      <c r="C362" t="s">
        <v>1434</v>
      </c>
      <c r="D362" t="s">
        <v>18</v>
      </c>
      <c r="E362" t="s">
        <v>19</v>
      </c>
      <c r="F362" t="s">
        <v>1435</v>
      </c>
      <c r="G362" t="s">
        <v>1436</v>
      </c>
      <c r="H362">
        <v>0</v>
      </c>
      <c r="I362">
        <v>250</v>
      </c>
      <c r="J362">
        <v>0</v>
      </c>
      <c r="K362">
        <v>0</v>
      </c>
      <c r="L362">
        <v>0</v>
      </c>
      <c r="M362">
        <v>250</v>
      </c>
      <c r="N362">
        <v>0</v>
      </c>
      <c r="O362">
        <v>0</v>
      </c>
    </row>
    <row r="363" spans="1:15" x14ac:dyDescent="0.3">
      <c r="A363" t="s">
        <v>26</v>
      </c>
      <c r="B363" t="s">
        <v>1437</v>
      </c>
      <c r="C363" t="s">
        <v>1438</v>
      </c>
      <c r="D363" t="s">
        <v>18</v>
      </c>
      <c r="E363" t="s">
        <v>19</v>
      </c>
      <c r="F363" t="s">
        <v>1439</v>
      </c>
      <c r="G363" t="s">
        <v>1440</v>
      </c>
      <c r="H363">
        <v>0</v>
      </c>
      <c r="I363">
        <v>250</v>
      </c>
      <c r="J363">
        <v>0</v>
      </c>
      <c r="K363">
        <v>0</v>
      </c>
      <c r="L363">
        <v>0</v>
      </c>
      <c r="M363">
        <v>250</v>
      </c>
      <c r="N363">
        <v>0</v>
      </c>
      <c r="O363">
        <v>0</v>
      </c>
    </row>
    <row r="364" spans="1:15" x14ac:dyDescent="0.3">
      <c r="A364" t="s">
        <v>26</v>
      </c>
      <c r="B364" t="s">
        <v>1441</v>
      </c>
      <c r="C364" t="s">
        <v>1442</v>
      </c>
      <c r="D364" t="s">
        <v>18</v>
      </c>
      <c r="E364" t="s">
        <v>19</v>
      </c>
      <c r="F364" t="s">
        <v>1443</v>
      </c>
      <c r="G364" t="s">
        <v>1444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3">
      <c r="A365" t="s">
        <v>26</v>
      </c>
      <c r="B365" t="s">
        <v>1445</v>
      </c>
      <c r="C365" t="s">
        <v>1446</v>
      </c>
      <c r="D365" t="s">
        <v>18</v>
      </c>
      <c r="E365" t="s">
        <v>19</v>
      </c>
      <c r="F365" t="s">
        <v>1447</v>
      </c>
      <c r="G365" t="s">
        <v>1448</v>
      </c>
      <c r="H365">
        <v>0</v>
      </c>
      <c r="I365">
        <v>250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3">
      <c r="A366" t="s">
        <v>26</v>
      </c>
      <c r="B366" t="s">
        <v>1449</v>
      </c>
      <c r="C366" t="s">
        <v>1450</v>
      </c>
      <c r="D366" t="s">
        <v>18</v>
      </c>
      <c r="E366" t="s">
        <v>19</v>
      </c>
      <c r="F366" t="s">
        <v>1451</v>
      </c>
      <c r="G366" t="s">
        <v>1452</v>
      </c>
      <c r="H366">
        <v>0</v>
      </c>
      <c r="I366">
        <v>250</v>
      </c>
      <c r="J366">
        <v>0</v>
      </c>
      <c r="K366">
        <v>0</v>
      </c>
      <c r="L366">
        <v>0</v>
      </c>
      <c r="M366">
        <v>250</v>
      </c>
      <c r="N366">
        <v>0</v>
      </c>
      <c r="O366">
        <v>0</v>
      </c>
    </row>
    <row r="367" spans="1:15" x14ac:dyDescent="0.3">
      <c r="A367" t="s">
        <v>26</v>
      </c>
      <c r="B367" t="s">
        <v>1453</v>
      </c>
      <c r="C367" t="s">
        <v>1454</v>
      </c>
      <c r="D367" t="s">
        <v>18</v>
      </c>
      <c r="E367" t="s">
        <v>19</v>
      </c>
      <c r="F367" t="s">
        <v>1455</v>
      </c>
      <c r="G367" t="s">
        <v>1456</v>
      </c>
      <c r="H367">
        <v>0</v>
      </c>
      <c r="I367">
        <v>250</v>
      </c>
      <c r="J367">
        <v>0</v>
      </c>
      <c r="K367">
        <v>0</v>
      </c>
      <c r="L367">
        <v>0</v>
      </c>
      <c r="M367">
        <v>250</v>
      </c>
      <c r="N367">
        <v>0</v>
      </c>
      <c r="O367">
        <v>0</v>
      </c>
    </row>
    <row r="368" spans="1:15" x14ac:dyDescent="0.3">
      <c r="A368" t="s">
        <v>26</v>
      </c>
      <c r="B368" t="s">
        <v>1457</v>
      </c>
      <c r="C368" t="s">
        <v>1458</v>
      </c>
      <c r="D368" t="s">
        <v>18</v>
      </c>
      <c r="E368" t="s">
        <v>19</v>
      </c>
      <c r="F368" t="s">
        <v>1459</v>
      </c>
      <c r="G368" t="s">
        <v>1460</v>
      </c>
      <c r="H368">
        <v>0</v>
      </c>
      <c r="I368">
        <v>398</v>
      </c>
      <c r="J368">
        <v>0</v>
      </c>
      <c r="K368">
        <v>0</v>
      </c>
      <c r="L368">
        <v>0</v>
      </c>
      <c r="M368">
        <v>398</v>
      </c>
      <c r="N368">
        <v>148</v>
      </c>
      <c r="O368">
        <v>0</v>
      </c>
    </row>
    <row r="369" spans="1:15" x14ac:dyDescent="0.3">
      <c r="A369" t="s">
        <v>26</v>
      </c>
      <c r="B369" t="s">
        <v>1461</v>
      </c>
      <c r="C369" t="s">
        <v>1462</v>
      </c>
      <c r="D369" t="s">
        <v>18</v>
      </c>
      <c r="E369" t="s">
        <v>19</v>
      </c>
      <c r="F369" t="s">
        <v>1463</v>
      </c>
      <c r="G369" t="s">
        <v>1464</v>
      </c>
      <c r="H369">
        <v>0</v>
      </c>
      <c r="I369">
        <v>250</v>
      </c>
      <c r="J369">
        <v>0</v>
      </c>
      <c r="K369">
        <v>0</v>
      </c>
      <c r="L369">
        <v>0</v>
      </c>
      <c r="M369">
        <v>250</v>
      </c>
      <c r="N369">
        <v>0</v>
      </c>
      <c r="O369">
        <v>0</v>
      </c>
    </row>
    <row r="370" spans="1:15" x14ac:dyDescent="0.3">
      <c r="A370" t="s">
        <v>26</v>
      </c>
      <c r="B370" t="s">
        <v>1465</v>
      </c>
      <c r="C370" t="s">
        <v>1466</v>
      </c>
      <c r="D370" t="s">
        <v>18</v>
      </c>
      <c r="E370" t="s">
        <v>19</v>
      </c>
      <c r="F370" t="s">
        <v>1467</v>
      </c>
      <c r="G370" t="s">
        <v>1468</v>
      </c>
      <c r="H370">
        <v>0</v>
      </c>
      <c r="I370">
        <v>497</v>
      </c>
      <c r="J370">
        <v>0</v>
      </c>
      <c r="K370">
        <v>0</v>
      </c>
      <c r="L370">
        <v>0</v>
      </c>
      <c r="M370">
        <v>497</v>
      </c>
      <c r="N370">
        <v>0</v>
      </c>
      <c r="O370">
        <v>0</v>
      </c>
    </row>
    <row r="371" spans="1:15" x14ac:dyDescent="0.3">
      <c r="A371" t="s">
        <v>26</v>
      </c>
      <c r="B371" t="s">
        <v>1469</v>
      </c>
      <c r="C371" t="s">
        <v>1470</v>
      </c>
      <c r="D371" t="s">
        <v>18</v>
      </c>
      <c r="E371" t="s">
        <v>19</v>
      </c>
      <c r="F371" t="s">
        <v>1471</v>
      </c>
      <c r="G371" t="s">
        <v>1472</v>
      </c>
      <c r="H371">
        <v>0</v>
      </c>
      <c r="I371">
        <v>250</v>
      </c>
      <c r="J371">
        <v>1320</v>
      </c>
      <c r="K371">
        <v>0</v>
      </c>
      <c r="L371">
        <v>0</v>
      </c>
      <c r="M371">
        <v>250</v>
      </c>
      <c r="N371">
        <v>0</v>
      </c>
      <c r="O371">
        <v>0</v>
      </c>
    </row>
    <row r="372" spans="1:15" x14ac:dyDescent="0.3">
      <c r="A372" t="s">
        <v>26</v>
      </c>
      <c r="B372" t="s">
        <v>1473</v>
      </c>
      <c r="C372" t="s">
        <v>1474</v>
      </c>
      <c r="D372" t="s">
        <v>18</v>
      </c>
      <c r="E372" t="s">
        <v>19</v>
      </c>
      <c r="F372" t="s">
        <v>1475</v>
      </c>
      <c r="G372" t="s">
        <v>1476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3">
      <c r="A373" t="s">
        <v>26</v>
      </c>
      <c r="B373" t="s">
        <v>1477</v>
      </c>
      <c r="C373" t="s">
        <v>1478</v>
      </c>
      <c r="D373" t="s">
        <v>18</v>
      </c>
      <c r="E373" t="s">
        <v>19</v>
      </c>
      <c r="F373" t="s">
        <v>1479</v>
      </c>
      <c r="G373" t="s">
        <v>1480</v>
      </c>
      <c r="H373">
        <v>0</v>
      </c>
      <c r="I373">
        <v>250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3">
      <c r="A374" t="s">
        <v>26</v>
      </c>
      <c r="B374" t="s">
        <v>1481</v>
      </c>
      <c r="C374" t="s">
        <v>1482</v>
      </c>
      <c r="D374" t="s">
        <v>18</v>
      </c>
      <c r="E374" t="s">
        <v>19</v>
      </c>
      <c r="F374" t="s">
        <v>1483</v>
      </c>
      <c r="G374" t="s">
        <v>1484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3">
      <c r="A375" t="s">
        <v>26</v>
      </c>
      <c r="B375" t="s">
        <v>1485</v>
      </c>
      <c r="C375" t="s">
        <v>1486</v>
      </c>
      <c r="D375" t="s">
        <v>18</v>
      </c>
      <c r="E375" t="s">
        <v>19</v>
      </c>
      <c r="F375" t="s">
        <v>1487</v>
      </c>
      <c r="G375" t="s">
        <v>1488</v>
      </c>
      <c r="H375">
        <v>360</v>
      </c>
      <c r="I375">
        <v>250</v>
      </c>
      <c r="J375">
        <v>535</v>
      </c>
      <c r="K375">
        <v>0</v>
      </c>
      <c r="L375">
        <v>0</v>
      </c>
      <c r="M375">
        <v>250</v>
      </c>
      <c r="N375">
        <v>0</v>
      </c>
      <c r="O375">
        <v>0</v>
      </c>
    </row>
    <row r="376" spans="1:15" x14ac:dyDescent="0.3">
      <c r="A376" t="s">
        <v>26</v>
      </c>
      <c r="B376" t="s">
        <v>1489</v>
      </c>
      <c r="C376" t="s">
        <v>1490</v>
      </c>
      <c r="D376" t="s">
        <v>18</v>
      </c>
      <c r="E376" t="s">
        <v>19</v>
      </c>
      <c r="F376" t="s">
        <v>1491</v>
      </c>
      <c r="G376" t="s">
        <v>1492</v>
      </c>
      <c r="H376">
        <v>0</v>
      </c>
      <c r="I376">
        <v>250</v>
      </c>
      <c r="J376">
        <v>249</v>
      </c>
      <c r="K376">
        <v>0</v>
      </c>
      <c r="L376">
        <v>0</v>
      </c>
      <c r="M376">
        <v>250</v>
      </c>
      <c r="N376">
        <v>0</v>
      </c>
      <c r="O376">
        <v>0</v>
      </c>
    </row>
    <row r="377" spans="1:15" x14ac:dyDescent="0.3">
      <c r="A377" t="s">
        <v>26</v>
      </c>
      <c r="B377" t="s">
        <v>1493</v>
      </c>
      <c r="C377" t="s">
        <v>1494</v>
      </c>
      <c r="D377" t="s">
        <v>18</v>
      </c>
      <c r="E377" t="s">
        <v>19</v>
      </c>
      <c r="F377" t="s">
        <v>1495</v>
      </c>
      <c r="G377" t="s">
        <v>1496</v>
      </c>
      <c r="H377">
        <v>0</v>
      </c>
      <c r="I377">
        <v>7846</v>
      </c>
      <c r="J377">
        <v>7515</v>
      </c>
      <c r="K377">
        <v>2756</v>
      </c>
      <c r="L377">
        <v>0</v>
      </c>
      <c r="M377">
        <v>1776</v>
      </c>
      <c r="N377">
        <v>362</v>
      </c>
      <c r="O377">
        <v>0</v>
      </c>
    </row>
    <row r="378" spans="1:15" x14ac:dyDescent="0.3">
      <c r="A378" t="s">
        <v>26</v>
      </c>
      <c r="B378" t="s">
        <v>1497</v>
      </c>
      <c r="C378" t="s">
        <v>1498</v>
      </c>
      <c r="D378" t="s">
        <v>18</v>
      </c>
      <c r="E378" t="s">
        <v>19</v>
      </c>
      <c r="F378" t="s">
        <v>1499</v>
      </c>
      <c r="G378" t="s">
        <v>1500</v>
      </c>
      <c r="H378">
        <v>0</v>
      </c>
      <c r="I378">
        <v>2036</v>
      </c>
      <c r="J378">
        <v>5105</v>
      </c>
      <c r="K378">
        <v>0</v>
      </c>
      <c r="L378">
        <v>0</v>
      </c>
      <c r="M378">
        <v>941</v>
      </c>
      <c r="N378">
        <v>244</v>
      </c>
      <c r="O378">
        <v>0</v>
      </c>
    </row>
    <row r="379" spans="1:15" x14ac:dyDescent="0.3">
      <c r="A379" t="s">
        <v>26</v>
      </c>
      <c r="B379" t="s">
        <v>1501</v>
      </c>
      <c r="C379" t="s">
        <v>1502</v>
      </c>
      <c r="D379" t="s">
        <v>18</v>
      </c>
      <c r="E379" t="s">
        <v>19</v>
      </c>
      <c r="F379" t="s">
        <v>1503</v>
      </c>
      <c r="G379" t="s">
        <v>1504</v>
      </c>
      <c r="H379">
        <v>0</v>
      </c>
      <c r="I379">
        <v>250</v>
      </c>
      <c r="J379">
        <v>215</v>
      </c>
      <c r="K379">
        <v>0</v>
      </c>
      <c r="L379">
        <v>0</v>
      </c>
      <c r="M379">
        <v>250</v>
      </c>
      <c r="N379">
        <v>0</v>
      </c>
      <c r="O379">
        <v>0</v>
      </c>
    </row>
    <row r="380" spans="1:15" x14ac:dyDescent="0.3">
      <c r="A380" t="s">
        <v>26</v>
      </c>
      <c r="B380" t="s">
        <v>1505</v>
      </c>
      <c r="C380" t="s">
        <v>1506</v>
      </c>
      <c r="D380" t="s">
        <v>18</v>
      </c>
      <c r="E380" t="s">
        <v>19</v>
      </c>
      <c r="F380" t="s">
        <v>1507</v>
      </c>
      <c r="G380" t="s">
        <v>1508</v>
      </c>
      <c r="H380">
        <v>0</v>
      </c>
      <c r="I380">
        <v>6912</v>
      </c>
      <c r="J380">
        <v>2602</v>
      </c>
      <c r="K380">
        <v>427</v>
      </c>
      <c r="L380">
        <v>0</v>
      </c>
      <c r="M380">
        <v>6207</v>
      </c>
      <c r="N380">
        <v>0</v>
      </c>
      <c r="O380">
        <v>0</v>
      </c>
    </row>
    <row r="381" spans="1:15" x14ac:dyDescent="0.3">
      <c r="A381" t="s">
        <v>26</v>
      </c>
      <c r="B381" t="s">
        <v>1509</v>
      </c>
      <c r="C381" t="s">
        <v>1510</v>
      </c>
      <c r="D381" t="s">
        <v>18</v>
      </c>
      <c r="E381" t="s">
        <v>19</v>
      </c>
      <c r="F381" t="s">
        <v>1511</v>
      </c>
      <c r="G381" t="s">
        <v>1512</v>
      </c>
      <c r="H381">
        <v>0</v>
      </c>
      <c r="I381">
        <v>7950</v>
      </c>
      <c r="J381">
        <v>606</v>
      </c>
      <c r="K381">
        <v>3378</v>
      </c>
      <c r="L381">
        <v>0</v>
      </c>
      <c r="M381">
        <v>1271</v>
      </c>
      <c r="N381">
        <v>363</v>
      </c>
      <c r="O381">
        <v>0</v>
      </c>
    </row>
    <row r="382" spans="1:15" x14ac:dyDescent="0.3">
      <c r="A382" t="s">
        <v>26</v>
      </c>
      <c r="B382" t="s">
        <v>1513</v>
      </c>
      <c r="C382" t="s">
        <v>1514</v>
      </c>
      <c r="D382" t="s">
        <v>18</v>
      </c>
      <c r="E382" t="s">
        <v>19</v>
      </c>
      <c r="F382" t="s">
        <v>1515</v>
      </c>
      <c r="G382">
        <f>254736614595 / 254736614595</f>
        <v>1</v>
      </c>
      <c r="H382">
        <v>0</v>
      </c>
      <c r="I382">
        <v>250</v>
      </c>
      <c r="J382">
        <v>0</v>
      </c>
      <c r="K382">
        <v>0</v>
      </c>
      <c r="L382">
        <v>0</v>
      </c>
      <c r="M382">
        <v>250</v>
      </c>
      <c r="N382">
        <v>0</v>
      </c>
      <c r="O382">
        <v>0</v>
      </c>
    </row>
    <row r="383" spans="1:15" x14ac:dyDescent="0.3">
      <c r="A383" t="s">
        <v>26</v>
      </c>
      <c r="B383" t="s">
        <v>1516</v>
      </c>
      <c r="C383" t="s">
        <v>1517</v>
      </c>
      <c r="D383" t="s">
        <v>18</v>
      </c>
      <c r="E383" t="s">
        <v>19</v>
      </c>
      <c r="F383" t="s">
        <v>1518</v>
      </c>
      <c r="G383" t="s">
        <v>1519</v>
      </c>
      <c r="H383">
        <v>0</v>
      </c>
      <c r="I383">
        <v>250</v>
      </c>
      <c r="J383">
        <v>0</v>
      </c>
      <c r="K383">
        <v>0</v>
      </c>
      <c r="L383">
        <v>0</v>
      </c>
      <c r="M383">
        <v>250</v>
      </c>
      <c r="N383">
        <v>0</v>
      </c>
      <c r="O383">
        <v>0</v>
      </c>
    </row>
    <row r="384" spans="1:15" x14ac:dyDescent="0.3">
      <c r="A384" t="s">
        <v>26</v>
      </c>
      <c r="B384" t="s">
        <v>1520</v>
      </c>
      <c r="C384" t="s">
        <v>1521</v>
      </c>
      <c r="D384" t="s">
        <v>18</v>
      </c>
      <c r="E384" t="s">
        <v>19</v>
      </c>
      <c r="F384" t="s">
        <v>1522</v>
      </c>
      <c r="G384" t="s">
        <v>1523</v>
      </c>
      <c r="H384">
        <v>2761</v>
      </c>
      <c r="I384">
        <v>3516</v>
      </c>
      <c r="J384">
        <v>17423</v>
      </c>
      <c r="K384">
        <v>0</v>
      </c>
      <c r="L384">
        <v>6900</v>
      </c>
      <c r="M384">
        <v>2440</v>
      </c>
      <c r="N384">
        <v>0</v>
      </c>
      <c r="O384">
        <v>0</v>
      </c>
    </row>
    <row r="385" spans="1:15" x14ac:dyDescent="0.3">
      <c r="A385" t="s">
        <v>26</v>
      </c>
      <c r="B385" t="s">
        <v>1524</v>
      </c>
      <c r="C385" t="s">
        <v>1525</v>
      </c>
      <c r="D385" t="s">
        <v>18</v>
      </c>
      <c r="E385" t="s">
        <v>19</v>
      </c>
      <c r="F385" t="s">
        <v>1526</v>
      </c>
      <c r="G385" t="s">
        <v>1527</v>
      </c>
      <c r="H385">
        <v>0</v>
      </c>
      <c r="I385">
        <v>250</v>
      </c>
      <c r="J385">
        <v>0</v>
      </c>
      <c r="K385">
        <v>0</v>
      </c>
      <c r="L385">
        <v>0</v>
      </c>
      <c r="M385">
        <v>250</v>
      </c>
      <c r="N385">
        <v>0</v>
      </c>
      <c r="O385">
        <v>0</v>
      </c>
    </row>
    <row r="386" spans="1:15" x14ac:dyDescent="0.3">
      <c r="A386" t="s">
        <v>26</v>
      </c>
      <c r="B386" t="s">
        <v>1528</v>
      </c>
      <c r="C386" t="s">
        <v>1529</v>
      </c>
      <c r="D386" t="s">
        <v>18</v>
      </c>
      <c r="E386" t="s">
        <v>19</v>
      </c>
      <c r="F386" t="s">
        <v>1530</v>
      </c>
      <c r="G386" t="s">
        <v>1531</v>
      </c>
      <c r="H386">
        <v>2819</v>
      </c>
      <c r="I386">
        <v>933</v>
      </c>
      <c r="J386">
        <v>4297</v>
      </c>
      <c r="K386">
        <v>0</v>
      </c>
      <c r="L386">
        <v>0</v>
      </c>
      <c r="M386">
        <v>250</v>
      </c>
      <c r="N386">
        <v>0</v>
      </c>
      <c r="O386">
        <v>0</v>
      </c>
    </row>
    <row r="387" spans="1:15" x14ac:dyDescent="0.3">
      <c r="A387" t="s">
        <v>26</v>
      </c>
      <c r="B387" t="s">
        <v>1532</v>
      </c>
      <c r="C387" t="s">
        <v>1533</v>
      </c>
      <c r="D387" t="s">
        <v>18</v>
      </c>
      <c r="E387" t="s">
        <v>19</v>
      </c>
      <c r="F387" t="s">
        <v>1534</v>
      </c>
      <c r="G387" t="s">
        <v>1535</v>
      </c>
      <c r="H387">
        <v>0</v>
      </c>
      <c r="I387">
        <v>394</v>
      </c>
      <c r="J387">
        <v>0</v>
      </c>
      <c r="K387">
        <v>0</v>
      </c>
      <c r="L387">
        <v>0</v>
      </c>
      <c r="M387">
        <v>394</v>
      </c>
      <c r="N387">
        <v>0</v>
      </c>
      <c r="O387">
        <v>0</v>
      </c>
    </row>
    <row r="388" spans="1:15" x14ac:dyDescent="0.3">
      <c r="A388" t="s">
        <v>26</v>
      </c>
      <c r="B388" t="s">
        <v>1536</v>
      </c>
      <c r="C388" t="s">
        <v>1537</v>
      </c>
      <c r="D388" t="s">
        <v>18</v>
      </c>
      <c r="E388" t="s">
        <v>19</v>
      </c>
      <c r="F388" t="s">
        <v>1538</v>
      </c>
      <c r="G388" t="s">
        <v>1539</v>
      </c>
      <c r="H388">
        <v>0</v>
      </c>
      <c r="I388">
        <v>1786</v>
      </c>
      <c r="J388">
        <v>0</v>
      </c>
      <c r="K388">
        <v>0</v>
      </c>
      <c r="L388">
        <v>0</v>
      </c>
      <c r="M388">
        <v>250</v>
      </c>
      <c r="N388">
        <v>0</v>
      </c>
      <c r="O388">
        <v>0</v>
      </c>
    </row>
    <row r="389" spans="1:15" x14ac:dyDescent="0.3">
      <c r="A389" t="s">
        <v>26</v>
      </c>
      <c r="B389" t="s">
        <v>1540</v>
      </c>
      <c r="C389" t="s">
        <v>1541</v>
      </c>
      <c r="D389" t="s">
        <v>18</v>
      </c>
      <c r="E389" t="s">
        <v>19</v>
      </c>
      <c r="F389" t="s">
        <v>1542</v>
      </c>
      <c r="G389" t="s">
        <v>1543</v>
      </c>
      <c r="H389">
        <v>0</v>
      </c>
      <c r="I389">
        <v>650</v>
      </c>
      <c r="J389">
        <v>0</v>
      </c>
      <c r="K389">
        <v>0</v>
      </c>
      <c r="L389">
        <v>0</v>
      </c>
      <c r="M389">
        <v>650</v>
      </c>
      <c r="N389">
        <v>0</v>
      </c>
      <c r="O389">
        <v>0</v>
      </c>
    </row>
    <row r="390" spans="1:15" x14ac:dyDescent="0.3">
      <c r="A390" t="s">
        <v>26</v>
      </c>
      <c r="B390" t="s">
        <v>1544</v>
      </c>
      <c r="C390" t="s">
        <v>1545</v>
      </c>
      <c r="D390" t="s">
        <v>18</v>
      </c>
      <c r="E390" t="s">
        <v>19</v>
      </c>
      <c r="F390" t="s">
        <v>1546</v>
      </c>
      <c r="G390" t="s">
        <v>1547</v>
      </c>
      <c r="H390">
        <v>0</v>
      </c>
      <c r="I390">
        <v>620</v>
      </c>
      <c r="J390">
        <v>0</v>
      </c>
      <c r="K390">
        <v>0</v>
      </c>
      <c r="L390">
        <v>0</v>
      </c>
      <c r="M390">
        <v>620</v>
      </c>
      <c r="N390">
        <v>0</v>
      </c>
      <c r="O390">
        <v>0</v>
      </c>
    </row>
    <row r="391" spans="1:15" x14ac:dyDescent="0.3">
      <c r="A391" t="s">
        <v>26</v>
      </c>
      <c r="B391" t="s">
        <v>1548</v>
      </c>
      <c r="C391" t="s">
        <v>1549</v>
      </c>
      <c r="D391" t="s">
        <v>18</v>
      </c>
      <c r="E391" t="s">
        <v>19</v>
      </c>
      <c r="F391" t="s">
        <v>1550</v>
      </c>
      <c r="G391" t="s">
        <v>1551</v>
      </c>
      <c r="H391">
        <v>0</v>
      </c>
      <c r="I391">
        <v>5054</v>
      </c>
      <c r="J391">
        <v>660</v>
      </c>
      <c r="K391">
        <v>4271</v>
      </c>
      <c r="L391">
        <v>0</v>
      </c>
      <c r="M391">
        <v>999</v>
      </c>
      <c r="N391">
        <v>125</v>
      </c>
      <c r="O391">
        <v>2400</v>
      </c>
    </row>
    <row r="392" spans="1:15" x14ac:dyDescent="0.3">
      <c r="A392" t="s">
        <v>26</v>
      </c>
      <c r="B392" t="s">
        <v>1552</v>
      </c>
      <c r="C392" t="s">
        <v>1553</v>
      </c>
      <c r="D392" t="s">
        <v>18</v>
      </c>
      <c r="E392" t="s">
        <v>19</v>
      </c>
      <c r="F392" t="s">
        <v>1554</v>
      </c>
      <c r="G392" t="s">
        <v>1555</v>
      </c>
      <c r="H392">
        <v>0</v>
      </c>
      <c r="I392">
        <v>250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3">
      <c r="A393" t="s">
        <v>26</v>
      </c>
      <c r="B393" t="s">
        <v>1556</v>
      </c>
      <c r="C393" t="s">
        <v>1557</v>
      </c>
      <c r="D393" t="s">
        <v>18</v>
      </c>
      <c r="E393" t="s">
        <v>19</v>
      </c>
      <c r="F393" t="s">
        <v>1558</v>
      </c>
      <c r="G393" t="s">
        <v>1559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3">
      <c r="A394" t="s">
        <v>26</v>
      </c>
      <c r="B394" t="s">
        <v>1560</v>
      </c>
      <c r="C394" t="s">
        <v>1561</v>
      </c>
      <c r="D394" t="s">
        <v>18</v>
      </c>
      <c r="E394" t="s">
        <v>19</v>
      </c>
      <c r="F394" t="s">
        <v>1562</v>
      </c>
      <c r="G394" t="s">
        <v>1563</v>
      </c>
      <c r="H394">
        <v>0</v>
      </c>
      <c r="I394">
        <v>250</v>
      </c>
      <c r="J394">
        <v>0</v>
      </c>
      <c r="K394">
        <v>0</v>
      </c>
      <c r="L394">
        <v>0</v>
      </c>
      <c r="M394">
        <v>250</v>
      </c>
      <c r="N394">
        <v>0</v>
      </c>
      <c r="O394">
        <v>0</v>
      </c>
    </row>
    <row r="395" spans="1:15" x14ac:dyDescent="0.3">
      <c r="A395" t="s">
        <v>26</v>
      </c>
      <c r="B395" t="s">
        <v>1564</v>
      </c>
      <c r="C395" t="s">
        <v>1565</v>
      </c>
      <c r="D395" t="s">
        <v>18</v>
      </c>
      <c r="E395" t="s">
        <v>19</v>
      </c>
      <c r="F395" t="s">
        <v>1566</v>
      </c>
      <c r="G395" t="s">
        <v>1567</v>
      </c>
      <c r="H395">
        <v>0</v>
      </c>
      <c r="I395">
        <v>250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3">
      <c r="A396" t="s">
        <v>26</v>
      </c>
      <c r="B396" t="s">
        <v>1568</v>
      </c>
      <c r="C396" t="s">
        <v>1569</v>
      </c>
      <c r="D396" t="s">
        <v>18</v>
      </c>
      <c r="E396" t="s">
        <v>19</v>
      </c>
      <c r="F396" t="s">
        <v>1570</v>
      </c>
      <c r="G396" t="s">
        <v>1571</v>
      </c>
      <c r="H396">
        <v>0</v>
      </c>
      <c r="I396">
        <v>250</v>
      </c>
      <c r="J396">
        <v>0</v>
      </c>
      <c r="K396">
        <v>0</v>
      </c>
      <c r="L396">
        <v>0</v>
      </c>
      <c r="M396">
        <v>250</v>
      </c>
      <c r="N396">
        <v>0</v>
      </c>
      <c r="O396">
        <v>0</v>
      </c>
    </row>
    <row r="397" spans="1:15" x14ac:dyDescent="0.3">
      <c r="A397" t="s">
        <v>26</v>
      </c>
      <c r="B397" t="s">
        <v>1572</v>
      </c>
      <c r="C397" t="s">
        <v>1573</v>
      </c>
      <c r="D397" t="s">
        <v>18</v>
      </c>
      <c r="E397" t="s">
        <v>19</v>
      </c>
      <c r="F397" t="s">
        <v>1574</v>
      </c>
      <c r="G397" t="s">
        <v>1575</v>
      </c>
      <c r="H397">
        <v>0</v>
      </c>
      <c r="I397">
        <v>250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3">
      <c r="A398" t="s">
        <v>26</v>
      </c>
      <c r="B398" t="s">
        <v>1576</v>
      </c>
      <c r="C398" t="s">
        <v>1577</v>
      </c>
      <c r="D398" t="s">
        <v>18</v>
      </c>
      <c r="E398" t="s">
        <v>19</v>
      </c>
      <c r="F398" t="s">
        <v>1578</v>
      </c>
      <c r="G398" t="s">
        <v>1579</v>
      </c>
      <c r="H398">
        <v>0</v>
      </c>
      <c r="I398">
        <v>250</v>
      </c>
      <c r="J398">
        <v>0</v>
      </c>
      <c r="K398">
        <v>0</v>
      </c>
      <c r="L398">
        <v>0</v>
      </c>
      <c r="M398">
        <v>250</v>
      </c>
      <c r="N398">
        <v>0</v>
      </c>
      <c r="O398">
        <v>0</v>
      </c>
    </row>
    <row r="399" spans="1:15" x14ac:dyDescent="0.3">
      <c r="A399" t="s">
        <v>26</v>
      </c>
      <c r="B399" t="s">
        <v>1580</v>
      </c>
      <c r="C399" t="s">
        <v>1581</v>
      </c>
      <c r="D399" t="s">
        <v>18</v>
      </c>
      <c r="E399" t="s">
        <v>19</v>
      </c>
      <c r="F399" t="s">
        <v>1582</v>
      </c>
      <c r="G399" t="s">
        <v>1583</v>
      </c>
      <c r="H399">
        <v>0</v>
      </c>
      <c r="I399">
        <v>250</v>
      </c>
      <c r="J399">
        <v>0</v>
      </c>
      <c r="K399">
        <v>0</v>
      </c>
      <c r="L399">
        <v>0</v>
      </c>
      <c r="M399">
        <v>250</v>
      </c>
      <c r="N399">
        <v>0</v>
      </c>
      <c r="O399">
        <v>0</v>
      </c>
    </row>
    <row r="400" spans="1:15" x14ac:dyDescent="0.3">
      <c r="A400" t="s">
        <v>26</v>
      </c>
      <c r="B400" t="s">
        <v>1584</v>
      </c>
      <c r="C400" t="s">
        <v>1585</v>
      </c>
      <c r="D400" t="s">
        <v>18</v>
      </c>
      <c r="E400" t="s">
        <v>19</v>
      </c>
      <c r="F400" t="s">
        <v>1586</v>
      </c>
      <c r="G400" t="s">
        <v>1587</v>
      </c>
      <c r="H400">
        <v>0</v>
      </c>
      <c r="I400">
        <v>250</v>
      </c>
      <c r="J400">
        <v>0</v>
      </c>
      <c r="K400">
        <v>0</v>
      </c>
      <c r="L400">
        <v>0</v>
      </c>
      <c r="M400">
        <v>250</v>
      </c>
      <c r="N400">
        <v>0</v>
      </c>
      <c r="O400">
        <v>0</v>
      </c>
    </row>
    <row r="401" spans="1:15" x14ac:dyDescent="0.3">
      <c r="A401" t="s">
        <v>26</v>
      </c>
      <c r="B401" t="s">
        <v>1588</v>
      </c>
      <c r="C401" t="s">
        <v>1589</v>
      </c>
      <c r="D401" t="s">
        <v>18</v>
      </c>
      <c r="E401" t="s">
        <v>19</v>
      </c>
      <c r="F401" t="s">
        <v>1590</v>
      </c>
      <c r="G401" t="s">
        <v>1591</v>
      </c>
      <c r="H401">
        <v>0</v>
      </c>
      <c r="I401">
        <v>250</v>
      </c>
      <c r="J401">
        <v>1684</v>
      </c>
      <c r="K401">
        <v>1554</v>
      </c>
      <c r="L401">
        <v>0</v>
      </c>
      <c r="M401">
        <v>250</v>
      </c>
      <c r="N401">
        <v>0</v>
      </c>
      <c r="O401">
        <v>0</v>
      </c>
    </row>
    <row r="402" spans="1:15" x14ac:dyDescent="0.3">
      <c r="A402" t="s">
        <v>26</v>
      </c>
      <c r="B402" t="s">
        <v>1592</v>
      </c>
      <c r="C402" t="s">
        <v>1593</v>
      </c>
      <c r="D402" t="s">
        <v>18</v>
      </c>
      <c r="E402" t="s">
        <v>19</v>
      </c>
      <c r="F402" t="s">
        <v>1594</v>
      </c>
      <c r="G402" t="s">
        <v>1595</v>
      </c>
      <c r="H402">
        <v>0</v>
      </c>
      <c r="I402">
        <v>250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3">
      <c r="A403" t="s">
        <v>26</v>
      </c>
      <c r="B403" t="s">
        <v>1596</v>
      </c>
      <c r="C403" t="s">
        <v>1597</v>
      </c>
      <c r="D403" t="s">
        <v>18</v>
      </c>
      <c r="E403" t="s">
        <v>19</v>
      </c>
      <c r="F403" t="s">
        <v>1598</v>
      </c>
      <c r="G403" t="s">
        <v>89</v>
      </c>
      <c r="H403">
        <v>0</v>
      </c>
      <c r="I403">
        <v>250</v>
      </c>
      <c r="J403">
        <v>510</v>
      </c>
      <c r="K403">
        <v>0</v>
      </c>
      <c r="L403">
        <v>0</v>
      </c>
      <c r="M403">
        <v>250</v>
      </c>
      <c r="N403">
        <v>0</v>
      </c>
      <c r="O403">
        <v>0</v>
      </c>
    </row>
    <row r="404" spans="1:15" x14ac:dyDescent="0.3">
      <c r="A404" t="s">
        <v>26</v>
      </c>
      <c r="B404" t="s">
        <v>1599</v>
      </c>
      <c r="C404" t="s">
        <v>1600</v>
      </c>
      <c r="D404" t="s">
        <v>18</v>
      </c>
      <c r="E404" t="s">
        <v>19</v>
      </c>
      <c r="F404" t="s">
        <v>1601</v>
      </c>
      <c r="G404" t="s">
        <v>1602</v>
      </c>
      <c r="H404">
        <v>0</v>
      </c>
      <c r="I404">
        <v>250</v>
      </c>
      <c r="J404">
        <v>0</v>
      </c>
      <c r="K404">
        <v>0</v>
      </c>
      <c r="L404">
        <v>0</v>
      </c>
      <c r="M404">
        <v>250</v>
      </c>
      <c r="N404">
        <v>0</v>
      </c>
      <c r="O404">
        <v>0</v>
      </c>
    </row>
    <row r="405" spans="1:15" x14ac:dyDescent="0.3">
      <c r="A405" t="s">
        <v>26</v>
      </c>
      <c r="B405" t="s">
        <v>1603</v>
      </c>
      <c r="C405" t="s">
        <v>1604</v>
      </c>
      <c r="D405" t="s">
        <v>18</v>
      </c>
      <c r="E405" t="s">
        <v>19</v>
      </c>
      <c r="F405" t="s">
        <v>1605</v>
      </c>
      <c r="G405" t="s">
        <v>1606</v>
      </c>
      <c r="H405">
        <v>258</v>
      </c>
      <c r="I405">
        <v>250</v>
      </c>
      <c r="J405">
        <v>1880</v>
      </c>
      <c r="K405">
        <v>0</v>
      </c>
      <c r="L405">
        <v>0</v>
      </c>
      <c r="M405">
        <v>250</v>
      </c>
      <c r="N405">
        <v>0</v>
      </c>
      <c r="O405">
        <v>0</v>
      </c>
    </row>
    <row r="406" spans="1:15" x14ac:dyDescent="0.3">
      <c r="A406" t="s">
        <v>26</v>
      </c>
      <c r="B406" t="s">
        <v>1607</v>
      </c>
      <c r="C406" t="s">
        <v>1608</v>
      </c>
      <c r="D406" t="s">
        <v>18</v>
      </c>
      <c r="E406" t="s">
        <v>19</v>
      </c>
      <c r="F406" t="s">
        <v>1609</v>
      </c>
      <c r="G406" t="s">
        <v>1610</v>
      </c>
      <c r="H406">
        <v>0</v>
      </c>
      <c r="I406">
        <v>250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3">
      <c r="A407" t="s">
        <v>26</v>
      </c>
      <c r="B407" t="s">
        <v>1611</v>
      </c>
      <c r="C407" t="s">
        <v>1612</v>
      </c>
      <c r="D407" t="s">
        <v>18</v>
      </c>
      <c r="E407" t="s">
        <v>19</v>
      </c>
      <c r="F407" t="s">
        <v>1613</v>
      </c>
      <c r="G407" t="s">
        <v>1614</v>
      </c>
      <c r="H407">
        <v>0</v>
      </c>
      <c r="I407">
        <v>250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3">
      <c r="A408" t="s">
        <v>26</v>
      </c>
      <c r="B408" t="s">
        <v>1615</v>
      </c>
      <c r="C408" t="s">
        <v>1616</v>
      </c>
      <c r="D408" t="s">
        <v>18</v>
      </c>
      <c r="E408" t="s">
        <v>19</v>
      </c>
      <c r="F408" t="s">
        <v>1617</v>
      </c>
      <c r="G408" t="s">
        <v>1618</v>
      </c>
      <c r="H408">
        <v>0</v>
      </c>
      <c r="I408">
        <v>250</v>
      </c>
      <c r="J408">
        <v>0</v>
      </c>
      <c r="K408">
        <v>0</v>
      </c>
      <c r="L408">
        <v>0</v>
      </c>
      <c r="M408">
        <v>250</v>
      </c>
      <c r="N408">
        <v>0</v>
      </c>
      <c r="O408">
        <v>0</v>
      </c>
    </row>
    <row r="409" spans="1:15" x14ac:dyDescent="0.3">
      <c r="A409" t="s">
        <v>26</v>
      </c>
      <c r="B409" t="s">
        <v>1619</v>
      </c>
      <c r="C409" t="s">
        <v>1620</v>
      </c>
      <c r="D409" t="s">
        <v>18</v>
      </c>
      <c r="E409" t="s">
        <v>19</v>
      </c>
      <c r="F409" t="s">
        <v>1621</v>
      </c>
      <c r="G409" t="s">
        <v>1622</v>
      </c>
      <c r="H409">
        <v>1334</v>
      </c>
      <c r="I409">
        <v>2128</v>
      </c>
      <c r="J409">
        <v>19547</v>
      </c>
      <c r="K409">
        <v>0</v>
      </c>
      <c r="L409">
        <v>600</v>
      </c>
      <c r="M409">
        <v>1198</v>
      </c>
      <c r="N409">
        <v>0</v>
      </c>
      <c r="O409">
        <v>0</v>
      </c>
    </row>
    <row r="410" spans="1:15" x14ac:dyDescent="0.3">
      <c r="A410" t="s">
        <v>26</v>
      </c>
      <c r="B410" t="s">
        <v>1623</v>
      </c>
      <c r="C410" t="s">
        <v>1624</v>
      </c>
      <c r="D410" t="s">
        <v>18</v>
      </c>
      <c r="E410" t="s">
        <v>19</v>
      </c>
      <c r="F410" t="s">
        <v>1625</v>
      </c>
      <c r="G410" t="s">
        <v>1626</v>
      </c>
      <c r="H410">
        <v>0</v>
      </c>
      <c r="I410">
        <v>250</v>
      </c>
      <c r="J410">
        <v>0</v>
      </c>
      <c r="K410">
        <v>0</v>
      </c>
      <c r="L410">
        <v>0</v>
      </c>
      <c r="M410">
        <v>250</v>
      </c>
      <c r="N410">
        <v>0</v>
      </c>
      <c r="O410">
        <v>0</v>
      </c>
    </row>
    <row r="411" spans="1:15" x14ac:dyDescent="0.3">
      <c r="A411" t="s">
        <v>26</v>
      </c>
      <c r="B411" t="s">
        <v>1627</v>
      </c>
      <c r="C411" t="s">
        <v>1628</v>
      </c>
      <c r="D411" t="s">
        <v>18</v>
      </c>
      <c r="E411" t="s">
        <v>19</v>
      </c>
      <c r="F411" t="s">
        <v>1629</v>
      </c>
      <c r="G411" t="s">
        <v>1630</v>
      </c>
      <c r="H411">
        <v>0</v>
      </c>
      <c r="I411">
        <v>250</v>
      </c>
      <c r="J411">
        <v>0</v>
      </c>
      <c r="K411">
        <v>0</v>
      </c>
      <c r="L411">
        <v>0</v>
      </c>
      <c r="M411">
        <v>250</v>
      </c>
      <c r="N411">
        <v>0</v>
      </c>
      <c r="O411">
        <v>0</v>
      </c>
    </row>
    <row r="412" spans="1:15" x14ac:dyDescent="0.3">
      <c r="A412" t="s">
        <v>26</v>
      </c>
      <c r="B412" t="s">
        <v>1631</v>
      </c>
      <c r="C412" t="s">
        <v>1632</v>
      </c>
      <c r="D412" t="s">
        <v>18</v>
      </c>
      <c r="E412" t="s">
        <v>19</v>
      </c>
      <c r="F412" t="s">
        <v>1633</v>
      </c>
      <c r="G412" t="s">
        <v>1634</v>
      </c>
      <c r="H412">
        <v>0</v>
      </c>
      <c r="I412">
        <v>250</v>
      </c>
      <c r="J412">
        <v>0</v>
      </c>
      <c r="K412">
        <v>0</v>
      </c>
      <c r="L412">
        <v>0</v>
      </c>
      <c r="M412">
        <v>250</v>
      </c>
      <c r="N412">
        <v>0</v>
      </c>
      <c r="O412">
        <v>0</v>
      </c>
    </row>
    <row r="413" spans="1:15" x14ac:dyDescent="0.3">
      <c r="A413" t="s">
        <v>26</v>
      </c>
      <c r="B413" t="s">
        <v>1635</v>
      </c>
      <c r="C413" t="s">
        <v>1636</v>
      </c>
      <c r="D413" t="s">
        <v>18</v>
      </c>
      <c r="E413" t="s">
        <v>19</v>
      </c>
      <c r="F413" t="s">
        <v>1637</v>
      </c>
      <c r="G413" t="s">
        <v>1638</v>
      </c>
      <c r="H413">
        <v>0</v>
      </c>
      <c r="I413">
        <v>250</v>
      </c>
      <c r="J413">
        <v>0</v>
      </c>
      <c r="K413">
        <v>0</v>
      </c>
      <c r="L413">
        <v>0</v>
      </c>
      <c r="M413">
        <v>250</v>
      </c>
      <c r="N413">
        <v>0</v>
      </c>
      <c r="O413">
        <v>0</v>
      </c>
    </row>
    <row r="414" spans="1:15" x14ac:dyDescent="0.3">
      <c r="A414" t="s">
        <v>26</v>
      </c>
      <c r="B414" t="s">
        <v>1639</v>
      </c>
      <c r="C414" t="s">
        <v>1640</v>
      </c>
      <c r="D414" t="s">
        <v>18</v>
      </c>
      <c r="E414" t="s">
        <v>19</v>
      </c>
      <c r="F414" t="s">
        <v>1641</v>
      </c>
      <c r="G414" t="s">
        <v>1642</v>
      </c>
      <c r="H414">
        <v>0</v>
      </c>
      <c r="I414">
        <v>250</v>
      </c>
      <c r="J414">
        <v>0</v>
      </c>
      <c r="K414">
        <v>0</v>
      </c>
      <c r="L414">
        <v>0</v>
      </c>
      <c r="M414">
        <v>250</v>
      </c>
      <c r="N414">
        <v>0</v>
      </c>
      <c r="O414">
        <v>0</v>
      </c>
    </row>
    <row r="415" spans="1:15" x14ac:dyDescent="0.3">
      <c r="A415" t="s">
        <v>26</v>
      </c>
      <c r="B415" t="s">
        <v>1643</v>
      </c>
      <c r="C415" t="s">
        <v>1644</v>
      </c>
      <c r="D415" t="s">
        <v>18</v>
      </c>
      <c r="E415" t="s">
        <v>19</v>
      </c>
      <c r="F415" t="s">
        <v>1645</v>
      </c>
      <c r="G415" t="s">
        <v>1646</v>
      </c>
      <c r="H415">
        <v>0</v>
      </c>
      <c r="I415">
        <v>250</v>
      </c>
      <c r="J415">
        <v>0</v>
      </c>
      <c r="K415">
        <v>0</v>
      </c>
      <c r="L415">
        <v>0</v>
      </c>
      <c r="M415">
        <v>250</v>
      </c>
      <c r="N415">
        <v>0</v>
      </c>
      <c r="O415">
        <v>0</v>
      </c>
    </row>
    <row r="416" spans="1:15" x14ac:dyDescent="0.3">
      <c r="A416" t="s">
        <v>26</v>
      </c>
      <c r="B416" t="s">
        <v>1647</v>
      </c>
      <c r="C416" t="s">
        <v>1648</v>
      </c>
      <c r="D416" t="s">
        <v>18</v>
      </c>
      <c r="E416" t="s">
        <v>19</v>
      </c>
      <c r="F416" t="s">
        <v>1649</v>
      </c>
      <c r="G416" t="s">
        <v>1650</v>
      </c>
      <c r="H416">
        <v>0</v>
      </c>
      <c r="I416">
        <v>748</v>
      </c>
      <c r="J416">
        <v>0</v>
      </c>
      <c r="K416">
        <v>0</v>
      </c>
      <c r="L416">
        <v>0</v>
      </c>
      <c r="M416">
        <v>748</v>
      </c>
      <c r="N416">
        <v>0</v>
      </c>
      <c r="O416">
        <v>0</v>
      </c>
    </row>
    <row r="417" spans="1:15" x14ac:dyDescent="0.3">
      <c r="A417" t="s">
        <v>26</v>
      </c>
      <c r="B417" t="s">
        <v>1651</v>
      </c>
      <c r="C417" t="s">
        <v>1652</v>
      </c>
      <c r="D417" t="s">
        <v>18</v>
      </c>
      <c r="E417" t="s">
        <v>19</v>
      </c>
      <c r="F417" t="s">
        <v>1653</v>
      </c>
      <c r="G417" t="s">
        <v>1654</v>
      </c>
      <c r="H417">
        <v>0</v>
      </c>
      <c r="I417">
        <v>250</v>
      </c>
      <c r="J417">
        <v>0</v>
      </c>
      <c r="K417">
        <v>0</v>
      </c>
      <c r="L417">
        <v>0</v>
      </c>
      <c r="M417">
        <v>250</v>
      </c>
      <c r="N417">
        <v>0</v>
      </c>
      <c r="O417">
        <v>0</v>
      </c>
    </row>
    <row r="418" spans="1:15" x14ac:dyDescent="0.3">
      <c r="A418" t="s">
        <v>26</v>
      </c>
      <c r="B418" t="s">
        <v>1655</v>
      </c>
      <c r="C418" t="s">
        <v>1656</v>
      </c>
      <c r="D418" t="s">
        <v>18</v>
      </c>
      <c r="E418" t="s">
        <v>19</v>
      </c>
      <c r="F418" t="s">
        <v>1657</v>
      </c>
      <c r="G418" t="s">
        <v>1658</v>
      </c>
      <c r="H418">
        <v>0</v>
      </c>
      <c r="I418">
        <v>3390</v>
      </c>
      <c r="J418">
        <v>1968</v>
      </c>
      <c r="K418">
        <v>0</v>
      </c>
      <c r="L418">
        <v>0</v>
      </c>
      <c r="M418">
        <v>3390</v>
      </c>
      <c r="N418">
        <v>0</v>
      </c>
      <c r="O418">
        <v>0</v>
      </c>
    </row>
    <row r="419" spans="1:15" x14ac:dyDescent="0.3">
      <c r="A419" t="s">
        <v>26</v>
      </c>
      <c r="B419" t="s">
        <v>1659</v>
      </c>
      <c r="C419" t="s">
        <v>1660</v>
      </c>
      <c r="D419" t="s">
        <v>18</v>
      </c>
      <c r="E419" t="s">
        <v>19</v>
      </c>
      <c r="F419" t="s">
        <v>1661</v>
      </c>
      <c r="G419" t="s">
        <v>1662</v>
      </c>
      <c r="H419">
        <v>0</v>
      </c>
      <c r="I419">
        <v>250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3">
      <c r="A420" t="s">
        <v>26</v>
      </c>
      <c r="B420" t="s">
        <v>1663</v>
      </c>
      <c r="C420" t="s">
        <v>1664</v>
      </c>
      <c r="D420" t="s">
        <v>18</v>
      </c>
      <c r="E420" t="s">
        <v>19</v>
      </c>
      <c r="F420" t="s">
        <v>1665</v>
      </c>
      <c r="G420" t="s">
        <v>1666</v>
      </c>
      <c r="H420">
        <v>0</v>
      </c>
      <c r="I420">
        <v>250</v>
      </c>
      <c r="J420">
        <v>0</v>
      </c>
      <c r="K420">
        <v>0</v>
      </c>
      <c r="L420">
        <v>0</v>
      </c>
      <c r="M420">
        <v>250</v>
      </c>
      <c r="N420">
        <v>0</v>
      </c>
      <c r="O420">
        <v>0</v>
      </c>
    </row>
    <row r="421" spans="1:15" x14ac:dyDescent="0.3">
      <c r="A421" t="s">
        <v>26</v>
      </c>
      <c r="B421" t="s">
        <v>1667</v>
      </c>
      <c r="C421" t="s">
        <v>1668</v>
      </c>
      <c r="D421" t="s">
        <v>18</v>
      </c>
      <c r="E421" t="s">
        <v>19</v>
      </c>
      <c r="F421" t="s">
        <v>1669</v>
      </c>
      <c r="G421" t="s">
        <v>1670</v>
      </c>
      <c r="H421">
        <v>0</v>
      </c>
      <c r="I421">
        <v>831</v>
      </c>
      <c r="J421">
        <v>0</v>
      </c>
      <c r="K421">
        <v>68</v>
      </c>
      <c r="L421">
        <v>4200</v>
      </c>
      <c r="M421">
        <v>831</v>
      </c>
      <c r="N421">
        <v>389</v>
      </c>
      <c r="O421">
        <v>0</v>
      </c>
    </row>
    <row r="422" spans="1:15" x14ac:dyDescent="0.3">
      <c r="A422" t="s">
        <v>26</v>
      </c>
      <c r="B422" t="s">
        <v>1671</v>
      </c>
      <c r="C422" t="s">
        <v>1672</v>
      </c>
      <c r="D422" t="s">
        <v>18</v>
      </c>
      <c r="E422" t="s">
        <v>19</v>
      </c>
      <c r="F422" t="s">
        <v>1673</v>
      </c>
      <c r="G422" t="s">
        <v>1674</v>
      </c>
      <c r="H422">
        <v>0</v>
      </c>
      <c r="I422">
        <v>250</v>
      </c>
      <c r="J422">
        <v>0</v>
      </c>
      <c r="K422">
        <v>0</v>
      </c>
      <c r="L422">
        <v>0</v>
      </c>
      <c r="M422">
        <v>250</v>
      </c>
      <c r="N422">
        <v>0</v>
      </c>
      <c r="O422">
        <v>0</v>
      </c>
    </row>
    <row r="423" spans="1:15" x14ac:dyDescent="0.3">
      <c r="A423" t="s">
        <v>26</v>
      </c>
      <c r="B423" t="s">
        <v>1675</v>
      </c>
      <c r="C423" t="s">
        <v>1676</v>
      </c>
      <c r="D423" t="s">
        <v>18</v>
      </c>
      <c r="E423" t="s">
        <v>19</v>
      </c>
      <c r="F423" t="s">
        <v>1677</v>
      </c>
      <c r="G423" t="s">
        <v>1678</v>
      </c>
      <c r="H423">
        <v>0</v>
      </c>
      <c r="I423">
        <v>250</v>
      </c>
      <c r="J423">
        <v>18</v>
      </c>
      <c r="K423">
        <v>0</v>
      </c>
      <c r="L423">
        <v>0</v>
      </c>
      <c r="M423">
        <v>250</v>
      </c>
      <c r="N423">
        <v>0</v>
      </c>
      <c r="O423">
        <v>0</v>
      </c>
    </row>
    <row r="424" spans="1:15" x14ac:dyDescent="0.3">
      <c r="A424" t="s">
        <v>26</v>
      </c>
      <c r="B424" t="s">
        <v>1679</v>
      </c>
      <c r="C424" t="s">
        <v>1680</v>
      </c>
      <c r="D424" t="s">
        <v>18</v>
      </c>
      <c r="E424" t="s">
        <v>19</v>
      </c>
      <c r="F424" t="s">
        <v>1681</v>
      </c>
      <c r="G424" t="s">
        <v>1682</v>
      </c>
      <c r="H424">
        <v>0</v>
      </c>
      <c r="I424">
        <v>5948</v>
      </c>
      <c r="J424">
        <v>11364</v>
      </c>
      <c r="K424">
        <v>0</v>
      </c>
      <c r="L424">
        <v>1000</v>
      </c>
      <c r="M424">
        <v>4321</v>
      </c>
      <c r="N424">
        <v>578</v>
      </c>
      <c r="O424">
        <v>0</v>
      </c>
    </row>
    <row r="425" spans="1:15" x14ac:dyDescent="0.3">
      <c r="A425" t="s">
        <v>26</v>
      </c>
      <c r="B425" t="s">
        <v>1683</v>
      </c>
      <c r="C425" t="s">
        <v>1684</v>
      </c>
      <c r="D425" t="s">
        <v>18</v>
      </c>
      <c r="E425" t="s">
        <v>19</v>
      </c>
      <c r="F425" t="s">
        <v>1685</v>
      </c>
      <c r="G425" t="s">
        <v>1686</v>
      </c>
      <c r="H425">
        <v>1394</v>
      </c>
      <c r="I425">
        <v>5639</v>
      </c>
      <c r="J425">
        <v>14061</v>
      </c>
      <c r="K425">
        <v>0</v>
      </c>
      <c r="L425">
        <v>7500</v>
      </c>
      <c r="M425">
        <v>3445</v>
      </c>
      <c r="N425">
        <v>0</v>
      </c>
      <c r="O425">
        <v>0</v>
      </c>
    </row>
    <row r="426" spans="1:15" x14ac:dyDescent="0.3">
      <c r="A426" t="s">
        <v>26</v>
      </c>
      <c r="B426" t="s">
        <v>1687</v>
      </c>
      <c r="C426" t="s">
        <v>1688</v>
      </c>
      <c r="D426" t="s">
        <v>18</v>
      </c>
      <c r="E426" t="s">
        <v>19</v>
      </c>
      <c r="F426" t="s">
        <v>1689</v>
      </c>
      <c r="G426" t="s">
        <v>1690</v>
      </c>
      <c r="H426">
        <v>0</v>
      </c>
      <c r="I426">
        <v>444</v>
      </c>
      <c r="J426">
        <v>0</v>
      </c>
      <c r="K426">
        <v>0</v>
      </c>
      <c r="L426">
        <v>0</v>
      </c>
      <c r="M426">
        <v>444</v>
      </c>
      <c r="N426">
        <v>0</v>
      </c>
      <c r="O426">
        <v>0</v>
      </c>
    </row>
    <row r="427" spans="1:15" x14ac:dyDescent="0.3">
      <c r="A427" t="s">
        <v>26</v>
      </c>
      <c r="B427" t="s">
        <v>1691</v>
      </c>
      <c r="C427" t="s">
        <v>1692</v>
      </c>
      <c r="D427" t="s">
        <v>18</v>
      </c>
      <c r="E427" t="s">
        <v>19</v>
      </c>
      <c r="F427" t="s">
        <v>1693</v>
      </c>
      <c r="G427" t="s">
        <v>1694</v>
      </c>
      <c r="H427">
        <v>0</v>
      </c>
      <c r="I427">
        <v>408</v>
      </c>
      <c r="J427">
        <v>3977</v>
      </c>
      <c r="K427">
        <v>0</v>
      </c>
      <c r="L427">
        <v>0</v>
      </c>
      <c r="M427">
        <v>250</v>
      </c>
      <c r="N427">
        <v>0</v>
      </c>
      <c r="O427">
        <v>0</v>
      </c>
    </row>
    <row r="428" spans="1:15" x14ac:dyDescent="0.3">
      <c r="A428" t="s">
        <v>26</v>
      </c>
      <c r="B428" t="s">
        <v>1695</v>
      </c>
      <c r="C428" t="s">
        <v>1696</v>
      </c>
      <c r="D428" t="s">
        <v>18</v>
      </c>
      <c r="E428" t="s">
        <v>19</v>
      </c>
      <c r="F428" t="s">
        <v>1697</v>
      </c>
      <c r="G428" t="s">
        <v>1698</v>
      </c>
      <c r="H428">
        <v>0</v>
      </c>
      <c r="I428">
        <v>250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3">
      <c r="A429" t="s">
        <v>26</v>
      </c>
      <c r="B429" t="s">
        <v>1699</v>
      </c>
      <c r="C429" t="s">
        <v>1700</v>
      </c>
      <c r="D429" t="s">
        <v>18</v>
      </c>
      <c r="E429" t="s">
        <v>19</v>
      </c>
      <c r="F429" t="s">
        <v>1701</v>
      </c>
      <c r="G429" t="s">
        <v>1702</v>
      </c>
      <c r="H429">
        <v>0</v>
      </c>
      <c r="I429">
        <v>250</v>
      </c>
      <c r="J429">
        <v>0</v>
      </c>
      <c r="K429">
        <v>0</v>
      </c>
      <c r="L429">
        <v>0</v>
      </c>
      <c r="M429">
        <v>250</v>
      </c>
      <c r="N429">
        <v>0</v>
      </c>
      <c r="O429">
        <v>0</v>
      </c>
    </row>
    <row r="430" spans="1:15" x14ac:dyDescent="0.3">
      <c r="A430" t="s">
        <v>26</v>
      </c>
      <c r="B430" t="s">
        <v>1703</v>
      </c>
      <c r="C430" t="s">
        <v>1704</v>
      </c>
      <c r="D430" t="s">
        <v>18</v>
      </c>
      <c r="E430" t="s">
        <v>19</v>
      </c>
      <c r="F430" t="s">
        <v>1705</v>
      </c>
      <c r="G430" t="s">
        <v>1706</v>
      </c>
      <c r="H430">
        <v>0</v>
      </c>
      <c r="I430">
        <v>250</v>
      </c>
      <c r="J430">
        <v>0</v>
      </c>
      <c r="K430">
        <v>0</v>
      </c>
      <c r="L430">
        <v>0</v>
      </c>
      <c r="M430">
        <v>250</v>
      </c>
      <c r="N430">
        <v>0</v>
      </c>
      <c r="O430">
        <v>0</v>
      </c>
    </row>
    <row r="431" spans="1:15" x14ac:dyDescent="0.3">
      <c r="A431" t="s">
        <v>26</v>
      </c>
      <c r="B431" t="s">
        <v>1707</v>
      </c>
      <c r="C431" t="s">
        <v>1708</v>
      </c>
      <c r="D431" t="s">
        <v>18</v>
      </c>
      <c r="E431" t="s">
        <v>19</v>
      </c>
      <c r="F431" t="s">
        <v>1709</v>
      </c>
      <c r="G431" t="s">
        <v>1710</v>
      </c>
      <c r="H431">
        <v>0</v>
      </c>
      <c r="I431">
        <v>250</v>
      </c>
      <c r="J431">
        <v>0</v>
      </c>
      <c r="K431">
        <v>0</v>
      </c>
      <c r="L431">
        <v>0</v>
      </c>
      <c r="M431">
        <v>250</v>
      </c>
      <c r="N431">
        <v>0</v>
      </c>
      <c r="O431">
        <v>0</v>
      </c>
    </row>
    <row r="432" spans="1:15" x14ac:dyDescent="0.3">
      <c r="A432" t="s">
        <v>26</v>
      </c>
      <c r="B432" t="s">
        <v>1711</v>
      </c>
      <c r="C432" t="s">
        <v>1712</v>
      </c>
      <c r="D432" t="s">
        <v>18</v>
      </c>
      <c r="E432" t="s">
        <v>19</v>
      </c>
      <c r="F432" t="s">
        <v>1713</v>
      </c>
      <c r="G432" t="s">
        <v>1714</v>
      </c>
      <c r="H432">
        <v>0</v>
      </c>
      <c r="I432">
        <v>1790</v>
      </c>
      <c r="J432">
        <v>2794</v>
      </c>
      <c r="K432">
        <v>0</v>
      </c>
      <c r="L432">
        <v>0</v>
      </c>
      <c r="M432">
        <v>1790</v>
      </c>
      <c r="N432">
        <v>0</v>
      </c>
      <c r="O432">
        <v>0</v>
      </c>
    </row>
    <row r="433" spans="1:15" x14ac:dyDescent="0.3">
      <c r="A433" t="s">
        <v>26</v>
      </c>
      <c r="B433" t="s">
        <v>1715</v>
      </c>
      <c r="C433" t="s">
        <v>1716</v>
      </c>
      <c r="D433" t="s">
        <v>18</v>
      </c>
      <c r="E433" t="s">
        <v>19</v>
      </c>
      <c r="F433" t="s">
        <v>1717</v>
      </c>
      <c r="G433" t="s">
        <v>1718</v>
      </c>
      <c r="H433">
        <v>10798</v>
      </c>
      <c r="I433">
        <v>9992</v>
      </c>
      <c r="J433">
        <v>80018</v>
      </c>
      <c r="K433">
        <v>0</v>
      </c>
      <c r="L433">
        <v>1800</v>
      </c>
      <c r="M433">
        <v>3653</v>
      </c>
      <c r="N433">
        <v>276</v>
      </c>
      <c r="O433">
        <v>0</v>
      </c>
    </row>
    <row r="434" spans="1:15" x14ac:dyDescent="0.3">
      <c r="A434" t="s">
        <v>26</v>
      </c>
      <c r="B434" t="s">
        <v>1719</v>
      </c>
      <c r="C434" t="s">
        <v>1720</v>
      </c>
      <c r="D434" t="s">
        <v>18</v>
      </c>
      <c r="E434" t="s">
        <v>19</v>
      </c>
      <c r="F434" t="s">
        <v>1721</v>
      </c>
      <c r="G434" t="s">
        <v>1722</v>
      </c>
      <c r="H434">
        <v>0</v>
      </c>
      <c r="I434">
        <v>250</v>
      </c>
      <c r="J434">
        <v>7736</v>
      </c>
      <c r="K434">
        <v>649</v>
      </c>
      <c r="L434">
        <v>0</v>
      </c>
      <c r="M434">
        <v>250</v>
      </c>
      <c r="N434">
        <v>0</v>
      </c>
      <c r="O434">
        <v>0</v>
      </c>
    </row>
    <row r="435" spans="1:15" x14ac:dyDescent="0.3">
      <c r="A435" t="s">
        <v>26</v>
      </c>
      <c r="B435" t="s">
        <v>1723</v>
      </c>
      <c r="C435" t="s">
        <v>1724</v>
      </c>
      <c r="D435" t="s">
        <v>18</v>
      </c>
      <c r="E435" t="s">
        <v>19</v>
      </c>
      <c r="F435" t="s">
        <v>1725</v>
      </c>
      <c r="G435" t="s">
        <v>1726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3">
      <c r="A436" t="s">
        <v>26</v>
      </c>
      <c r="B436" t="s">
        <v>1727</v>
      </c>
      <c r="C436" t="s">
        <v>1728</v>
      </c>
      <c r="D436" t="s">
        <v>18</v>
      </c>
      <c r="E436" t="s">
        <v>19</v>
      </c>
      <c r="F436" t="s">
        <v>1729</v>
      </c>
      <c r="G436" t="s">
        <v>1730</v>
      </c>
      <c r="H436">
        <v>0</v>
      </c>
      <c r="I436">
        <v>250</v>
      </c>
      <c r="J436">
        <v>0</v>
      </c>
      <c r="K436">
        <v>0</v>
      </c>
      <c r="L436">
        <v>0</v>
      </c>
      <c r="M436">
        <v>250</v>
      </c>
      <c r="N436">
        <v>0</v>
      </c>
      <c r="O436">
        <v>0</v>
      </c>
    </row>
    <row r="437" spans="1:15" x14ac:dyDescent="0.3">
      <c r="A437" t="s">
        <v>26</v>
      </c>
      <c r="B437" t="s">
        <v>1731</v>
      </c>
      <c r="C437" t="s">
        <v>1732</v>
      </c>
      <c r="D437" t="s">
        <v>18</v>
      </c>
      <c r="E437" t="s">
        <v>19</v>
      </c>
      <c r="F437" t="s">
        <v>1733</v>
      </c>
      <c r="G437" t="s">
        <v>1734</v>
      </c>
      <c r="H437">
        <v>0</v>
      </c>
      <c r="I437">
        <v>250</v>
      </c>
      <c r="J437">
        <v>0</v>
      </c>
      <c r="K437">
        <v>0</v>
      </c>
      <c r="L437">
        <v>0</v>
      </c>
      <c r="M437">
        <v>250</v>
      </c>
      <c r="N437">
        <v>0</v>
      </c>
      <c r="O437">
        <v>0</v>
      </c>
    </row>
    <row r="438" spans="1:15" x14ac:dyDescent="0.3">
      <c r="A438" t="s">
        <v>26</v>
      </c>
      <c r="B438" t="s">
        <v>1735</v>
      </c>
      <c r="C438" t="s">
        <v>1736</v>
      </c>
      <c r="D438" t="s">
        <v>18</v>
      </c>
      <c r="E438" t="s">
        <v>19</v>
      </c>
      <c r="F438" t="s">
        <v>1737</v>
      </c>
      <c r="G438" t="s">
        <v>1738</v>
      </c>
      <c r="H438">
        <v>0</v>
      </c>
      <c r="I438">
        <v>4242</v>
      </c>
      <c r="J438">
        <v>0</v>
      </c>
      <c r="K438">
        <v>5001</v>
      </c>
      <c r="L438">
        <v>0</v>
      </c>
      <c r="M438">
        <v>4242</v>
      </c>
      <c r="N438">
        <v>0</v>
      </c>
      <c r="O438">
        <v>0</v>
      </c>
    </row>
    <row r="439" spans="1:15" x14ac:dyDescent="0.3">
      <c r="A439" t="s">
        <v>26</v>
      </c>
      <c r="B439" t="s">
        <v>1739</v>
      </c>
      <c r="C439" t="s">
        <v>1740</v>
      </c>
      <c r="D439" t="s">
        <v>18</v>
      </c>
      <c r="E439" t="s">
        <v>19</v>
      </c>
      <c r="F439" t="s">
        <v>1741</v>
      </c>
      <c r="G439" t="s">
        <v>1742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3">
      <c r="A440" t="s">
        <v>26</v>
      </c>
      <c r="B440" t="s">
        <v>1743</v>
      </c>
      <c r="C440" t="s">
        <v>1744</v>
      </c>
      <c r="D440" t="s">
        <v>18</v>
      </c>
      <c r="E440" t="s">
        <v>19</v>
      </c>
      <c r="F440" t="s">
        <v>1745</v>
      </c>
      <c r="G440" t="s">
        <v>1746</v>
      </c>
      <c r="H440">
        <v>0</v>
      </c>
      <c r="I440">
        <v>250</v>
      </c>
      <c r="J440">
        <v>0</v>
      </c>
      <c r="K440">
        <v>0</v>
      </c>
      <c r="L440">
        <v>0</v>
      </c>
      <c r="M440">
        <v>250</v>
      </c>
      <c r="N440">
        <v>0</v>
      </c>
      <c r="O440">
        <v>0</v>
      </c>
    </row>
    <row r="441" spans="1:15" x14ac:dyDescent="0.3">
      <c r="A441" t="s">
        <v>26</v>
      </c>
      <c r="B441" t="s">
        <v>1747</v>
      </c>
      <c r="C441" t="s">
        <v>1748</v>
      </c>
      <c r="D441" t="s">
        <v>18</v>
      </c>
      <c r="E441" t="s">
        <v>19</v>
      </c>
      <c r="F441" t="s">
        <v>1749</v>
      </c>
      <c r="G441" t="s">
        <v>1750</v>
      </c>
      <c r="H441">
        <v>0</v>
      </c>
      <c r="I441">
        <v>1663</v>
      </c>
      <c r="J441">
        <v>1556</v>
      </c>
      <c r="K441">
        <v>0</v>
      </c>
      <c r="L441">
        <v>0</v>
      </c>
      <c r="M441">
        <v>813</v>
      </c>
      <c r="N441">
        <v>668</v>
      </c>
      <c r="O441">
        <v>850</v>
      </c>
    </row>
    <row r="442" spans="1:15" x14ac:dyDescent="0.3">
      <c r="A442" t="s">
        <v>26</v>
      </c>
      <c r="B442" t="s">
        <v>1751</v>
      </c>
      <c r="C442" t="s">
        <v>1752</v>
      </c>
      <c r="D442" t="s">
        <v>18</v>
      </c>
      <c r="E442" t="s">
        <v>19</v>
      </c>
      <c r="F442" t="s">
        <v>1753</v>
      </c>
      <c r="G442" t="s">
        <v>1754</v>
      </c>
      <c r="H442">
        <v>0</v>
      </c>
      <c r="I442">
        <v>250</v>
      </c>
      <c r="J442">
        <v>0</v>
      </c>
      <c r="K442">
        <v>0</v>
      </c>
      <c r="L442">
        <v>0</v>
      </c>
      <c r="M442">
        <v>250</v>
      </c>
      <c r="N442">
        <v>0</v>
      </c>
      <c r="O442">
        <v>0</v>
      </c>
    </row>
    <row r="443" spans="1:15" x14ac:dyDescent="0.3">
      <c r="A443" t="s">
        <v>26</v>
      </c>
      <c r="B443" t="s">
        <v>1755</v>
      </c>
      <c r="C443" t="s">
        <v>1756</v>
      </c>
      <c r="D443" t="s">
        <v>18</v>
      </c>
      <c r="E443" t="s">
        <v>19</v>
      </c>
      <c r="F443" t="s">
        <v>1757</v>
      </c>
      <c r="G443" t="s">
        <v>1758</v>
      </c>
      <c r="H443">
        <v>0</v>
      </c>
      <c r="I443">
        <v>657</v>
      </c>
      <c r="J443">
        <v>0</v>
      </c>
      <c r="K443">
        <v>1212</v>
      </c>
      <c r="L443">
        <v>0</v>
      </c>
      <c r="M443">
        <v>250</v>
      </c>
      <c r="N443">
        <v>0</v>
      </c>
      <c r="O443">
        <v>0</v>
      </c>
    </row>
    <row r="444" spans="1:15" x14ac:dyDescent="0.3">
      <c r="A444" t="s">
        <v>26</v>
      </c>
      <c r="B444" t="s">
        <v>1759</v>
      </c>
      <c r="C444" t="s">
        <v>1760</v>
      </c>
      <c r="D444" t="s">
        <v>18</v>
      </c>
      <c r="E444" t="s">
        <v>19</v>
      </c>
      <c r="F444" t="s">
        <v>1761</v>
      </c>
      <c r="G444" t="s">
        <v>1762</v>
      </c>
      <c r="H444">
        <v>0</v>
      </c>
      <c r="I444">
        <v>250</v>
      </c>
      <c r="J444">
        <v>0</v>
      </c>
      <c r="K444">
        <v>0</v>
      </c>
      <c r="L444">
        <v>0</v>
      </c>
      <c r="M444">
        <v>250</v>
      </c>
      <c r="N444">
        <v>0</v>
      </c>
      <c r="O444">
        <v>0</v>
      </c>
    </row>
    <row r="445" spans="1:15" x14ac:dyDescent="0.3">
      <c r="A445" t="s">
        <v>26</v>
      </c>
      <c r="B445" t="s">
        <v>1763</v>
      </c>
      <c r="C445" t="s">
        <v>1764</v>
      </c>
      <c r="D445" t="s">
        <v>18</v>
      </c>
      <c r="E445" t="s">
        <v>19</v>
      </c>
      <c r="F445" t="s">
        <v>1765</v>
      </c>
      <c r="G445" t="s">
        <v>1766</v>
      </c>
      <c r="H445">
        <v>0</v>
      </c>
      <c r="I445">
        <v>250</v>
      </c>
      <c r="J445">
        <v>0</v>
      </c>
      <c r="K445">
        <v>0</v>
      </c>
      <c r="L445">
        <v>0</v>
      </c>
      <c r="M445">
        <v>250</v>
      </c>
      <c r="N445">
        <v>0</v>
      </c>
      <c r="O445">
        <v>0</v>
      </c>
    </row>
    <row r="446" spans="1:15" x14ac:dyDescent="0.3">
      <c r="A446" t="s">
        <v>26</v>
      </c>
      <c r="B446" t="s">
        <v>1767</v>
      </c>
      <c r="C446" t="s">
        <v>1768</v>
      </c>
      <c r="D446" t="s">
        <v>18</v>
      </c>
      <c r="E446" t="s">
        <v>19</v>
      </c>
      <c r="F446" t="s">
        <v>1769</v>
      </c>
      <c r="G446" t="s">
        <v>1770</v>
      </c>
      <c r="H446">
        <v>1266</v>
      </c>
      <c r="I446">
        <v>9070</v>
      </c>
      <c r="J446">
        <v>16212</v>
      </c>
      <c r="K446">
        <v>2653</v>
      </c>
      <c r="L446">
        <v>3600</v>
      </c>
      <c r="M446">
        <v>323</v>
      </c>
      <c r="N446">
        <v>0</v>
      </c>
      <c r="O446">
        <v>5000</v>
      </c>
    </row>
    <row r="447" spans="1:15" x14ac:dyDescent="0.3">
      <c r="A447" t="s">
        <v>26</v>
      </c>
      <c r="B447" t="s">
        <v>1771</v>
      </c>
      <c r="C447" t="s">
        <v>1772</v>
      </c>
      <c r="D447" t="s">
        <v>18</v>
      </c>
      <c r="E447" t="s">
        <v>19</v>
      </c>
      <c r="F447" t="s">
        <v>1773</v>
      </c>
      <c r="G447" t="s">
        <v>1774</v>
      </c>
      <c r="H447">
        <v>0</v>
      </c>
      <c r="I447">
        <v>250</v>
      </c>
      <c r="J447">
        <v>0</v>
      </c>
      <c r="K447">
        <v>0</v>
      </c>
      <c r="L447">
        <v>0</v>
      </c>
      <c r="M447">
        <v>250</v>
      </c>
      <c r="N447">
        <v>0</v>
      </c>
      <c r="O447">
        <v>0</v>
      </c>
    </row>
    <row r="448" spans="1:15" x14ac:dyDescent="0.3">
      <c r="A448" t="s">
        <v>26</v>
      </c>
      <c r="B448" t="s">
        <v>1775</v>
      </c>
      <c r="C448" t="s">
        <v>1776</v>
      </c>
      <c r="D448" t="s">
        <v>18</v>
      </c>
      <c r="E448" t="s">
        <v>19</v>
      </c>
      <c r="F448" t="s">
        <v>1777</v>
      </c>
      <c r="G448" t="s">
        <v>1778</v>
      </c>
      <c r="H448">
        <v>0</v>
      </c>
      <c r="I448">
        <v>250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3">
      <c r="A449" t="s">
        <v>26</v>
      </c>
      <c r="B449" t="s">
        <v>1779</v>
      </c>
      <c r="C449" t="s">
        <v>1780</v>
      </c>
      <c r="D449" t="s">
        <v>18</v>
      </c>
      <c r="E449" t="s">
        <v>19</v>
      </c>
      <c r="F449" t="s">
        <v>1781</v>
      </c>
      <c r="G449" t="s">
        <v>1782</v>
      </c>
      <c r="H449">
        <v>0</v>
      </c>
      <c r="I449">
        <v>250</v>
      </c>
      <c r="J449">
        <v>0</v>
      </c>
      <c r="K449">
        <v>0</v>
      </c>
      <c r="L449">
        <v>0</v>
      </c>
      <c r="M449">
        <v>250</v>
      </c>
      <c r="N449">
        <v>0</v>
      </c>
      <c r="O449">
        <v>0</v>
      </c>
    </row>
    <row r="450" spans="1:15" x14ac:dyDescent="0.3">
      <c r="A450" t="s">
        <v>26</v>
      </c>
      <c r="B450" t="s">
        <v>1783</v>
      </c>
      <c r="C450" t="s">
        <v>1784</v>
      </c>
      <c r="D450" t="s">
        <v>18</v>
      </c>
      <c r="E450" t="s">
        <v>19</v>
      </c>
      <c r="F450" t="s">
        <v>1785</v>
      </c>
      <c r="G450">
        <f>254716105252 / 728413960</f>
        <v>349.68591932532428</v>
      </c>
      <c r="H450">
        <v>0</v>
      </c>
      <c r="I450">
        <v>250</v>
      </c>
      <c r="J450">
        <v>0</v>
      </c>
      <c r="K450">
        <v>0</v>
      </c>
      <c r="L450">
        <v>0</v>
      </c>
      <c r="M450">
        <v>250</v>
      </c>
      <c r="N450">
        <v>0</v>
      </c>
      <c r="O450">
        <v>0</v>
      </c>
    </row>
    <row r="451" spans="1:15" x14ac:dyDescent="0.3">
      <c r="A451" t="s">
        <v>26</v>
      </c>
      <c r="B451" t="s">
        <v>1786</v>
      </c>
      <c r="C451" t="s">
        <v>1787</v>
      </c>
      <c r="D451" t="s">
        <v>18</v>
      </c>
      <c r="E451" t="s">
        <v>19</v>
      </c>
      <c r="F451" t="s">
        <v>1788</v>
      </c>
      <c r="G451" t="s">
        <v>1789</v>
      </c>
      <c r="H451">
        <v>0</v>
      </c>
      <c r="I451">
        <v>250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3">
      <c r="A452" t="s">
        <v>26</v>
      </c>
      <c r="B452" t="s">
        <v>1790</v>
      </c>
      <c r="C452" t="s">
        <v>1791</v>
      </c>
      <c r="D452" t="s">
        <v>18</v>
      </c>
      <c r="E452" t="s">
        <v>19</v>
      </c>
      <c r="F452" t="s">
        <v>1792</v>
      </c>
      <c r="G452" t="s">
        <v>1793</v>
      </c>
      <c r="H452">
        <v>0</v>
      </c>
      <c r="I452">
        <v>250</v>
      </c>
      <c r="J452">
        <v>726</v>
      </c>
      <c r="K452">
        <v>184</v>
      </c>
      <c r="L452">
        <v>0</v>
      </c>
      <c r="M452">
        <v>250</v>
      </c>
      <c r="N452">
        <v>0</v>
      </c>
      <c r="O452">
        <v>0</v>
      </c>
    </row>
    <row r="453" spans="1:15" x14ac:dyDescent="0.3">
      <c r="A453" t="s">
        <v>26</v>
      </c>
      <c r="B453" t="s">
        <v>1794</v>
      </c>
      <c r="C453" t="s">
        <v>1795</v>
      </c>
      <c r="D453" t="s">
        <v>18</v>
      </c>
      <c r="E453" t="s">
        <v>19</v>
      </c>
      <c r="F453" t="s">
        <v>1796</v>
      </c>
      <c r="G453" t="s">
        <v>1797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x14ac:dyDescent="0.3">
      <c r="A454" t="s">
        <v>26</v>
      </c>
      <c r="B454" t="s">
        <v>1798</v>
      </c>
      <c r="C454" t="s">
        <v>1799</v>
      </c>
      <c r="D454" t="s">
        <v>18</v>
      </c>
      <c r="E454" t="s">
        <v>19</v>
      </c>
      <c r="F454" t="s">
        <v>1800</v>
      </c>
      <c r="G454" t="s">
        <v>1801</v>
      </c>
      <c r="H454">
        <v>0</v>
      </c>
      <c r="I454">
        <v>632</v>
      </c>
      <c r="J454">
        <v>4338</v>
      </c>
      <c r="K454">
        <v>237</v>
      </c>
      <c r="L454">
        <v>0</v>
      </c>
      <c r="M454">
        <v>632</v>
      </c>
      <c r="N454">
        <v>0</v>
      </c>
      <c r="O454">
        <v>0</v>
      </c>
    </row>
    <row r="455" spans="1:15" x14ac:dyDescent="0.3">
      <c r="A455" t="s">
        <v>26</v>
      </c>
      <c r="B455" t="s">
        <v>1802</v>
      </c>
      <c r="C455" t="s">
        <v>1803</v>
      </c>
      <c r="D455" t="s">
        <v>18</v>
      </c>
      <c r="E455" t="s">
        <v>19</v>
      </c>
      <c r="F455" t="s">
        <v>1804</v>
      </c>
      <c r="G455" t="s">
        <v>1805</v>
      </c>
      <c r="H455">
        <v>0</v>
      </c>
      <c r="I455">
        <v>1886</v>
      </c>
      <c r="J455">
        <v>9545</v>
      </c>
      <c r="K455">
        <v>0</v>
      </c>
      <c r="L455">
        <v>500</v>
      </c>
      <c r="M455">
        <v>216</v>
      </c>
      <c r="N455">
        <v>0</v>
      </c>
      <c r="O455">
        <v>0</v>
      </c>
    </row>
    <row r="456" spans="1:15" x14ac:dyDescent="0.3">
      <c r="A456" t="s">
        <v>26</v>
      </c>
      <c r="B456" t="s">
        <v>1806</v>
      </c>
      <c r="C456" t="s">
        <v>1807</v>
      </c>
      <c r="D456" t="s">
        <v>18</v>
      </c>
      <c r="E456" t="s">
        <v>19</v>
      </c>
      <c r="F456" t="s">
        <v>1808</v>
      </c>
      <c r="G456" t="s">
        <v>1809</v>
      </c>
      <c r="H456">
        <v>0</v>
      </c>
      <c r="I456">
        <v>250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3">
      <c r="A457" t="s">
        <v>26</v>
      </c>
      <c r="B457" t="s">
        <v>1810</v>
      </c>
      <c r="C457" t="s">
        <v>1811</v>
      </c>
      <c r="D457" t="s">
        <v>18</v>
      </c>
      <c r="E457" t="s">
        <v>19</v>
      </c>
      <c r="F457" t="s">
        <v>1812</v>
      </c>
      <c r="G457" t="s">
        <v>1813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3">
      <c r="A458" t="s">
        <v>26</v>
      </c>
      <c r="B458" t="s">
        <v>1814</v>
      </c>
      <c r="C458" t="s">
        <v>1815</v>
      </c>
      <c r="D458" t="s">
        <v>18</v>
      </c>
      <c r="E458" t="s">
        <v>19</v>
      </c>
      <c r="F458" t="s">
        <v>1816</v>
      </c>
      <c r="G458" t="s">
        <v>1817</v>
      </c>
      <c r="H458">
        <v>0</v>
      </c>
      <c r="I458">
        <v>250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3">
      <c r="A459" t="s">
        <v>26</v>
      </c>
      <c r="B459" t="s">
        <v>1818</v>
      </c>
      <c r="C459" t="s">
        <v>1819</v>
      </c>
      <c r="D459" t="s">
        <v>18</v>
      </c>
      <c r="E459" t="s">
        <v>19</v>
      </c>
      <c r="F459" t="s">
        <v>1820</v>
      </c>
      <c r="G459">
        <f>254729753627 / 768893355</f>
        <v>331.29399801744938</v>
      </c>
      <c r="H459">
        <v>0</v>
      </c>
      <c r="I459">
        <v>1344</v>
      </c>
      <c r="J459">
        <v>0</v>
      </c>
      <c r="K459">
        <v>0</v>
      </c>
      <c r="L459">
        <v>0</v>
      </c>
      <c r="M459">
        <v>344</v>
      </c>
      <c r="N459">
        <v>94</v>
      </c>
      <c r="O459">
        <v>1000</v>
      </c>
    </row>
    <row r="460" spans="1:15" x14ac:dyDescent="0.3">
      <c r="A460" t="s">
        <v>26</v>
      </c>
      <c r="B460" t="s">
        <v>1821</v>
      </c>
      <c r="C460" t="s">
        <v>1822</v>
      </c>
      <c r="D460" t="s">
        <v>18</v>
      </c>
      <c r="E460" t="s">
        <v>19</v>
      </c>
      <c r="F460" t="s">
        <v>1823</v>
      </c>
      <c r="G460" t="s">
        <v>1824</v>
      </c>
      <c r="H460">
        <v>0</v>
      </c>
      <c r="I460">
        <v>250</v>
      </c>
      <c r="J460">
        <v>0</v>
      </c>
      <c r="K460">
        <v>0</v>
      </c>
      <c r="L460">
        <v>0</v>
      </c>
      <c r="M460">
        <v>250</v>
      </c>
      <c r="N460">
        <v>0</v>
      </c>
      <c r="O460">
        <v>0</v>
      </c>
    </row>
    <row r="461" spans="1:15" x14ac:dyDescent="0.3">
      <c r="A461" t="s">
        <v>26</v>
      </c>
      <c r="B461" t="s">
        <v>1825</v>
      </c>
      <c r="C461" t="s">
        <v>1826</v>
      </c>
      <c r="D461" t="s">
        <v>18</v>
      </c>
      <c r="E461" t="s">
        <v>19</v>
      </c>
      <c r="F461" t="s">
        <v>1827</v>
      </c>
      <c r="G461" t="s">
        <v>1828</v>
      </c>
      <c r="H461">
        <v>0</v>
      </c>
      <c r="I461">
        <v>250</v>
      </c>
      <c r="J461">
        <v>0</v>
      </c>
      <c r="K461">
        <v>0</v>
      </c>
      <c r="L461">
        <v>0</v>
      </c>
      <c r="M461">
        <v>250</v>
      </c>
      <c r="N461">
        <v>0</v>
      </c>
      <c r="O461">
        <v>0</v>
      </c>
    </row>
    <row r="462" spans="1:15" x14ac:dyDescent="0.3">
      <c r="A462" t="s">
        <v>26</v>
      </c>
      <c r="B462" t="s">
        <v>1829</v>
      </c>
      <c r="C462" t="s">
        <v>1830</v>
      </c>
      <c r="D462" t="s">
        <v>18</v>
      </c>
      <c r="E462" t="s">
        <v>19</v>
      </c>
      <c r="F462" t="s">
        <v>1831</v>
      </c>
      <c r="G462" t="s">
        <v>1832</v>
      </c>
      <c r="H462">
        <v>0</v>
      </c>
      <c r="I462">
        <v>250</v>
      </c>
      <c r="J462">
        <v>0</v>
      </c>
      <c r="K462">
        <v>0</v>
      </c>
      <c r="L462">
        <v>0</v>
      </c>
      <c r="M462">
        <v>250</v>
      </c>
      <c r="N462">
        <v>0</v>
      </c>
      <c r="O462">
        <v>0</v>
      </c>
    </row>
    <row r="463" spans="1:15" x14ac:dyDescent="0.3">
      <c r="A463" t="s">
        <v>26</v>
      </c>
      <c r="B463" t="s">
        <v>1833</v>
      </c>
      <c r="C463" t="s">
        <v>1834</v>
      </c>
      <c r="D463" t="s">
        <v>18</v>
      </c>
      <c r="E463" t="s">
        <v>19</v>
      </c>
      <c r="F463" t="s">
        <v>1835</v>
      </c>
      <c r="G463" t="s">
        <v>1836</v>
      </c>
      <c r="H463">
        <v>0</v>
      </c>
      <c r="I463">
        <v>250</v>
      </c>
      <c r="J463">
        <v>0</v>
      </c>
      <c r="K463">
        <v>0</v>
      </c>
      <c r="L463">
        <v>0</v>
      </c>
      <c r="M463">
        <v>250</v>
      </c>
      <c r="N463">
        <v>0</v>
      </c>
      <c r="O463">
        <v>0</v>
      </c>
    </row>
    <row r="464" spans="1:15" x14ac:dyDescent="0.3">
      <c r="A464" t="s">
        <v>26</v>
      </c>
      <c r="B464" t="s">
        <v>1837</v>
      </c>
      <c r="C464" t="s">
        <v>1838</v>
      </c>
      <c r="D464" t="s">
        <v>18</v>
      </c>
      <c r="E464" t="s">
        <v>19</v>
      </c>
      <c r="F464" t="s">
        <v>1839</v>
      </c>
      <c r="G464" t="s">
        <v>1840</v>
      </c>
      <c r="H464">
        <v>238</v>
      </c>
      <c r="I464">
        <v>250</v>
      </c>
      <c r="J464">
        <v>139948</v>
      </c>
      <c r="K464">
        <v>0</v>
      </c>
      <c r="L464">
        <v>0</v>
      </c>
      <c r="M464">
        <v>250</v>
      </c>
      <c r="N464">
        <v>0</v>
      </c>
      <c r="O464">
        <v>0</v>
      </c>
    </row>
    <row r="465" spans="1:15" x14ac:dyDescent="0.3">
      <c r="A465" t="s">
        <v>26</v>
      </c>
      <c r="B465" t="s">
        <v>1841</v>
      </c>
      <c r="C465" t="s">
        <v>1842</v>
      </c>
      <c r="D465" t="s">
        <v>18</v>
      </c>
      <c r="E465" t="s">
        <v>19</v>
      </c>
      <c r="F465" t="s">
        <v>1843</v>
      </c>
      <c r="G465" t="s">
        <v>1844</v>
      </c>
      <c r="H465">
        <v>158</v>
      </c>
      <c r="I465">
        <v>1311</v>
      </c>
      <c r="J465">
        <v>6098</v>
      </c>
      <c r="K465">
        <v>0</v>
      </c>
      <c r="L465">
        <v>1000</v>
      </c>
      <c r="M465">
        <v>303</v>
      </c>
      <c r="N465">
        <v>0</v>
      </c>
      <c r="O465">
        <v>0</v>
      </c>
    </row>
    <row r="466" spans="1:15" x14ac:dyDescent="0.3">
      <c r="A466" t="s">
        <v>26</v>
      </c>
      <c r="B466" t="s">
        <v>1845</v>
      </c>
      <c r="C466" t="s">
        <v>1846</v>
      </c>
      <c r="D466" t="s">
        <v>18</v>
      </c>
      <c r="E466" t="s">
        <v>19</v>
      </c>
      <c r="F466" t="s">
        <v>1847</v>
      </c>
      <c r="G466" t="s">
        <v>1848</v>
      </c>
      <c r="H466">
        <v>0</v>
      </c>
      <c r="I466">
        <v>250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3">
      <c r="A467" t="s">
        <v>26</v>
      </c>
      <c r="B467" t="s">
        <v>1849</v>
      </c>
      <c r="C467" t="s">
        <v>1850</v>
      </c>
      <c r="D467" t="s">
        <v>18</v>
      </c>
      <c r="E467" t="s">
        <v>19</v>
      </c>
      <c r="F467" t="s">
        <v>1851</v>
      </c>
      <c r="G467" t="s">
        <v>294</v>
      </c>
      <c r="H467">
        <v>0</v>
      </c>
      <c r="I467">
        <v>250</v>
      </c>
      <c r="J467">
        <v>0</v>
      </c>
      <c r="K467">
        <v>0</v>
      </c>
      <c r="L467">
        <v>0</v>
      </c>
      <c r="M467">
        <v>250</v>
      </c>
      <c r="N467">
        <v>0</v>
      </c>
      <c r="O467">
        <v>0</v>
      </c>
    </row>
    <row r="468" spans="1:15" x14ac:dyDescent="0.3">
      <c r="A468" t="s">
        <v>26</v>
      </c>
      <c r="B468" t="s">
        <v>1852</v>
      </c>
      <c r="C468" t="s">
        <v>1853</v>
      </c>
      <c r="D468" t="s">
        <v>18</v>
      </c>
      <c r="E468" t="s">
        <v>19</v>
      </c>
      <c r="F468" t="s">
        <v>1854</v>
      </c>
      <c r="G468" t="s">
        <v>1855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3">
      <c r="A469" t="s">
        <v>26</v>
      </c>
      <c r="B469" t="s">
        <v>1856</v>
      </c>
      <c r="C469" t="s">
        <v>1857</v>
      </c>
      <c r="D469" t="s">
        <v>18</v>
      </c>
      <c r="E469" t="s">
        <v>19</v>
      </c>
      <c r="F469" t="s">
        <v>1858</v>
      </c>
      <c r="G469" t="s">
        <v>1859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3">
      <c r="A470" t="s">
        <v>26</v>
      </c>
      <c r="B470" t="s">
        <v>1860</v>
      </c>
      <c r="C470" t="s">
        <v>1861</v>
      </c>
      <c r="D470" t="s">
        <v>18</v>
      </c>
      <c r="E470" t="s">
        <v>19</v>
      </c>
      <c r="F470" t="s">
        <v>1862</v>
      </c>
      <c r="G470" t="s">
        <v>1863</v>
      </c>
      <c r="H470">
        <v>0</v>
      </c>
      <c r="I470">
        <v>250</v>
      </c>
      <c r="J470">
        <v>0</v>
      </c>
      <c r="K470">
        <v>0</v>
      </c>
      <c r="L470">
        <v>0</v>
      </c>
      <c r="M470">
        <v>250</v>
      </c>
      <c r="N470">
        <v>0</v>
      </c>
      <c r="O470">
        <v>0</v>
      </c>
    </row>
    <row r="471" spans="1:15" x14ac:dyDescent="0.3">
      <c r="A471" t="s">
        <v>26</v>
      </c>
      <c r="B471" t="s">
        <v>1864</v>
      </c>
      <c r="C471" t="s">
        <v>1865</v>
      </c>
      <c r="D471" t="s">
        <v>18</v>
      </c>
      <c r="E471" t="s">
        <v>19</v>
      </c>
      <c r="F471" t="s">
        <v>1866</v>
      </c>
      <c r="G471" t="s">
        <v>1867</v>
      </c>
      <c r="H471">
        <v>632</v>
      </c>
      <c r="I471">
        <v>7972</v>
      </c>
      <c r="J471">
        <v>20147</v>
      </c>
      <c r="K471">
        <v>0</v>
      </c>
      <c r="L471">
        <v>5500</v>
      </c>
      <c r="M471">
        <v>2071</v>
      </c>
      <c r="N471">
        <v>90</v>
      </c>
      <c r="O471">
        <v>1200</v>
      </c>
    </row>
    <row r="472" spans="1:15" x14ac:dyDescent="0.3">
      <c r="A472" t="s">
        <v>26</v>
      </c>
      <c r="B472" t="s">
        <v>1868</v>
      </c>
      <c r="C472" t="s">
        <v>1869</v>
      </c>
      <c r="D472" t="s">
        <v>18</v>
      </c>
      <c r="E472" t="s">
        <v>19</v>
      </c>
      <c r="F472" t="s">
        <v>1870</v>
      </c>
      <c r="G472" t="s">
        <v>1871</v>
      </c>
      <c r="H472">
        <v>0</v>
      </c>
      <c r="I472">
        <v>1348</v>
      </c>
      <c r="J472">
        <v>3638</v>
      </c>
      <c r="K472">
        <v>0</v>
      </c>
      <c r="L472">
        <v>0</v>
      </c>
      <c r="M472">
        <v>1348</v>
      </c>
      <c r="N472">
        <v>0</v>
      </c>
      <c r="O472">
        <v>0</v>
      </c>
    </row>
    <row r="473" spans="1:15" x14ac:dyDescent="0.3">
      <c r="A473" t="s">
        <v>26</v>
      </c>
      <c r="B473" t="s">
        <v>1872</v>
      </c>
      <c r="C473" t="s">
        <v>1873</v>
      </c>
      <c r="D473" t="s">
        <v>18</v>
      </c>
      <c r="E473" t="s">
        <v>19</v>
      </c>
      <c r="F473" t="s">
        <v>1874</v>
      </c>
      <c r="G473" t="s">
        <v>1875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3">
      <c r="A474" t="s">
        <v>26</v>
      </c>
      <c r="B474" t="s">
        <v>1876</v>
      </c>
      <c r="C474" t="s">
        <v>1877</v>
      </c>
      <c r="D474" t="s">
        <v>18</v>
      </c>
      <c r="E474" t="s">
        <v>19</v>
      </c>
      <c r="F474" t="s">
        <v>1878</v>
      </c>
      <c r="G474" t="s">
        <v>1879</v>
      </c>
      <c r="H474">
        <v>0</v>
      </c>
      <c r="I474">
        <v>250</v>
      </c>
      <c r="J474">
        <v>148</v>
      </c>
      <c r="K474">
        <v>0</v>
      </c>
      <c r="L474">
        <v>0</v>
      </c>
      <c r="M474">
        <v>250</v>
      </c>
      <c r="N474">
        <v>0</v>
      </c>
      <c r="O474">
        <v>0</v>
      </c>
    </row>
    <row r="475" spans="1:15" x14ac:dyDescent="0.3">
      <c r="A475" t="s">
        <v>26</v>
      </c>
      <c r="B475" t="s">
        <v>1880</v>
      </c>
      <c r="C475" t="s">
        <v>1881</v>
      </c>
      <c r="D475" t="s">
        <v>18</v>
      </c>
      <c r="E475" t="s">
        <v>19</v>
      </c>
      <c r="F475" t="s">
        <v>1882</v>
      </c>
      <c r="G475" t="s">
        <v>1883</v>
      </c>
      <c r="H475">
        <v>0</v>
      </c>
      <c r="I475">
        <v>250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3">
      <c r="A476" t="s">
        <v>26</v>
      </c>
      <c r="B476" t="s">
        <v>1884</v>
      </c>
      <c r="C476" t="s">
        <v>1885</v>
      </c>
      <c r="D476" t="s">
        <v>18</v>
      </c>
      <c r="E476" t="s">
        <v>19</v>
      </c>
      <c r="F476" t="s">
        <v>1886</v>
      </c>
      <c r="G476" t="s">
        <v>1887</v>
      </c>
      <c r="H476">
        <v>0</v>
      </c>
      <c r="I476">
        <v>250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3">
      <c r="A477" t="s">
        <v>26</v>
      </c>
      <c r="B477" t="s">
        <v>1888</v>
      </c>
      <c r="C477" t="s">
        <v>1889</v>
      </c>
      <c r="D477" t="s">
        <v>18</v>
      </c>
      <c r="E477" t="s">
        <v>19</v>
      </c>
      <c r="F477" t="s">
        <v>1890</v>
      </c>
      <c r="G477" t="s">
        <v>1891</v>
      </c>
      <c r="H477">
        <v>0</v>
      </c>
      <c r="I477">
        <v>250</v>
      </c>
      <c r="J477">
        <v>0</v>
      </c>
      <c r="K477">
        <v>0</v>
      </c>
      <c r="L477">
        <v>0</v>
      </c>
      <c r="M477">
        <v>250</v>
      </c>
      <c r="N477">
        <v>0</v>
      </c>
      <c r="O477">
        <v>0</v>
      </c>
    </row>
    <row r="478" spans="1:15" x14ac:dyDescent="0.3">
      <c r="A478" t="s">
        <v>26</v>
      </c>
      <c r="B478" t="s">
        <v>1892</v>
      </c>
      <c r="C478" t="s">
        <v>1893</v>
      </c>
      <c r="D478" t="s">
        <v>18</v>
      </c>
      <c r="E478" t="s">
        <v>19</v>
      </c>
      <c r="F478" t="s">
        <v>1894</v>
      </c>
      <c r="G478">
        <f>254722862277 / 254738835222</f>
        <v>0.99993729678089294</v>
      </c>
      <c r="H478">
        <v>2815</v>
      </c>
      <c r="I478">
        <v>544</v>
      </c>
      <c r="J478">
        <v>12605</v>
      </c>
      <c r="K478">
        <v>0</v>
      </c>
      <c r="L478">
        <v>0</v>
      </c>
      <c r="M478">
        <v>250</v>
      </c>
      <c r="N478">
        <v>0</v>
      </c>
      <c r="O478">
        <v>0</v>
      </c>
    </row>
    <row r="479" spans="1:15" x14ac:dyDescent="0.3">
      <c r="A479" t="s">
        <v>26</v>
      </c>
      <c r="B479" t="s">
        <v>1895</v>
      </c>
      <c r="C479" t="s">
        <v>1896</v>
      </c>
      <c r="D479" t="s">
        <v>18</v>
      </c>
      <c r="E479" t="s">
        <v>19</v>
      </c>
      <c r="F479" t="s">
        <v>1897</v>
      </c>
      <c r="G479" t="s">
        <v>1898</v>
      </c>
      <c r="H479">
        <v>0</v>
      </c>
      <c r="I479">
        <v>250</v>
      </c>
      <c r="J479">
        <v>0</v>
      </c>
      <c r="K479">
        <v>424</v>
      </c>
      <c r="L479">
        <v>0</v>
      </c>
      <c r="M479">
        <v>250</v>
      </c>
      <c r="N479">
        <v>0</v>
      </c>
      <c r="O479">
        <v>0</v>
      </c>
    </row>
    <row r="480" spans="1:15" x14ac:dyDescent="0.3">
      <c r="A480" t="s">
        <v>26</v>
      </c>
      <c r="B480" t="s">
        <v>1899</v>
      </c>
      <c r="C480" t="s">
        <v>1900</v>
      </c>
      <c r="D480" t="s">
        <v>18</v>
      </c>
      <c r="E480" t="s">
        <v>19</v>
      </c>
      <c r="F480" t="s">
        <v>1901</v>
      </c>
      <c r="G480" t="s">
        <v>1902</v>
      </c>
      <c r="H480">
        <v>0</v>
      </c>
      <c r="I480">
        <v>250</v>
      </c>
      <c r="J480">
        <v>500</v>
      </c>
      <c r="K480">
        <v>0</v>
      </c>
      <c r="L480">
        <v>0</v>
      </c>
      <c r="M480">
        <v>250</v>
      </c>
      <c r="N480">
        <v>0</v>
      </c>
      <c r="O480">
        <v>0</v>
      </c>
    </row>
    <row r="481" spans="1:15" x14ac:dyDescent="0.3">
      <c r="A481" t="s">
        <v>26</v>
      </c>
      <c r="B481" t="s">
        <v>1903</v>
      </c>
      <c r="C481" t="s">
        <v>1904</v>
      </c>
      <c r="D481" t="s">
        <v>18</v>
      </c>
      <c r="E481" t="s">
        <v>19</v>
      </c>
      <c r="F481" t="s">
        <v>1905</v>
      </c>
      <c r="G481" t="s">
        <v>1906</v>
      </c>
      <c r="H481">
        <v>0</v>
      </c>
      <c r="I481">
        <v>250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3">
      <c r="A482" t="s">
        <v>26</v>
      </c>
      <c r="B482" t="s">
        <v>1907</v>
      </c>
      <c r="C482" t="s">
        <v>1908</v>
      </c>
      <c r="D482" t="s">
        <v>18</v>
      </c>
      <c r="E482" t="s">
        <v>19</v>
      </c>
      <c r="F482" t="s">
        <v>1909</v>
      </c>
      <c r="G482" t="s">
        <v>1910</v>
      </c>
      <c r="H482">
        <v>0</v>
      </c>
      <c r="I482">
        <v>250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3">
      <c r="A483" t="s">
        <v>26</v>
      </c>
      <c r="B483" t="s">
        <v>1911</v>
      </c>
      <c r="C483" t="s">
        <v>1912</v>
      </c>
      <c r="D483" t="s">
        <v>18</v>
      </c>
      <c r="E483" t="s">
        <v>19</v>
      </c>
      <c r="F483" t="s">
        <v>1913</v>
      </c>
      <c r="G483" t="s">
        <v>1914</v>
      </c>
      <c r="H483">
        <v>0</v>
      </c>
      <c r="I483">
        <v>110</v>
      </c>
      <c r="J483">
        <v>1452</v>
      </c>
      <c r="K483">
        <v>0</v>
      </c>
      <c r="L483">
        <v>850</v>
      </c>
      <c r="M483">
        <v>110</v>
      </c>
      <c r="N483">
        <v>0</v>
      </c>
      <c r="O483">
        <v>0</v>
      </c>
    </row>
    <row r="484" spans="1:15" x14ac:dyDescent="0.3">
      <c r="A484" t="s">
        <v>26</v>
      </c>
      <c r="B484" t="s">
        <v>1915</v>
      </c>
      <c r="C484" t="s">
        <v>1916</v>
      </c>
      <c r="D484" t="s">
        <v>18</v>
      </c>
      <c r="E484" t="s">
        <v>19</v>
      </c>
      <c r="F484" t="s">
        <v>1917</v>
      </c>
      <c r="G484" t="s">
        <v>1918</v>
      </c>
      <c r="H484">
        <v>0</v>
      </c>
      <c r="I484">
        <v>782</v>
      </c>
      <c r="J484">
        <v>0</v>
      </c>
      <c r="K484">
        <v>310</v>
      </c>
      <c r="L484">
        <v>0</v>
      </c>
      <c r="M484">
        <v>250</v>
      </c>
      <c r="N484">
        <v>0</v>
      </c>
      <c r="O484">
        <v>0</v>
      </c>
    </row>
    <row r="485" spans="1:15" x14ac:dyDescent="0.3">
      <c r="A485" t="s">
        <v>26</v>
      </c>
      <c r="B485" t="s">
        <v>1919</v>
      </c>
      <c r="C485" t="s">
        <v>1920</v>
      </c>
      <c r="D485" t="s">
        <v>18</v>
      </c>
      <c r="E485" t="s">
        <v>19</v>
      </c>
      <c r="F485" t="s">
        <v>1921</v>
      </c>
      <c r="G485" t="s">
        <v>1523</v>
      </c>
      <c r="H485">
        <v>0</v>
      </c>
      <c r="I485">
        <v>250</v>
      </c>
      <c r="J485">
        <v>9541</v>
      </c>
      <c r="K485">
        <v>0</v>
      </c>
      <c r="L485">
        <v>0</v>
      </c>
      <c r="M485">
        <v>250</v>
      </c>
      <c r="N485">
        <v>0</v>
      </c>
      <c r="O485">
        <v>0</v>
      </c>
    </row>
    <row r="486" spans="1:15" x14ac:dyDescent="0.3">
      <c r="A486" t="s">
        <v>26</v>
      </c>
      <c r="B486" t="s">
        <v>1922</v>
      </c>
      <c r="C486" t="s">
        <v>1923</v>
      </c>
      <c r="D486" t="s">
        <v>18</v>
      </c>
      <c r="E486" t="s">
        <v>19</v>
      </c>
      <c r="F486" t="s">
        <v>1924</v>
      </c>
      <c r="G486" t="s">
        <v>1925</v>
      </c>
      <c r="H486">
        <v>546</v>
      </c>
      <c r="I486">
        <v>2177</v>
      </c>
      <c r="J486">
        <v>2085</v>
      </c>
      <c r="K486">
        <v>0</v>
      </c>
      <c r="L486">
        <v>1200</v>
      </c>
      <c r="M486">
        <v>1593</v>
      </c>
      <c r="N486">
        <v>0</v>
      </c>
      <c r="O486">
        <v>0</v>
      </c>
    </row>
    <row r="487" spans="1:15" x14ac:dyDescent="0.3">
      <c r="A487" t="s">
        <v>26</v>
      </c>
      <c r="B487" t="s">
        <v>1926</v>
      </c>
      <c r="C487" t="s">
        <v>1927</v>
      </c>
      <c r="D487" t="s">
        <v>18</v>
      </c>
      <c r="E487" t="s">
        <v>19</v>
      </c>
      <c r="F487" t="s">
        <v>1928</v>
      </c>
      <c r="G487" t="s">
        <v>1929</v>
      </c>
      <c r="H487">
        <v>0</v>
      </c>
      <c r="I487">
        <v>250</v>
      </c>
      <c r="J487">
        <v>2601</v>
      </c>
      <c r="K487">
        <v>2491</v>
      </c>
      <c r="L487">
        <v>0</v>
      </c>
      <c r="M487">
        <v>250</v>
      </c>
      <c r="N487">
        <v>0</v>
      </c>
      <c r="O487">
        <v>0</v>
      </c>
    </row>
    <row r="488" spans="1:15" x14ac:dyDescent="0.3">
      <c r="A488" t="s">
        <v>26</v>
      </c>
      <c r="B488" t="s">
        <v>1930</v>
      </c>
      <c r="C488" t="s">
        <v>1931</v>
      </c>
      <c r="D488" t="s">
        <v>18</v>
      </c>
      <c r="E488" t="s">
        <v>19</v>
      </c>
      <c r="F488" t="s">
        <v>1932</v>
      </c>
      <c r="G488" t="s">
        <v>1933</v>
      </c>
      <c r="H488">
        <v>0</v>
      </c>
      <c r="I488">
        <v>250</v>
      </c>
      <c r="J488">
        <v>658</v>
      </c>
      <c r="K488">
        <v>0</v>
      </c>
      <c r="L488">
        <v>0</v>
      </c>
      <c r="M488">
        <v>250</v>
      </c>
      <c r="N488">
        <v>0</v>
      </c>
      <c r="O488">
        <v>0</v>
      </c>
    </row>
    <row r="489" spans="1:15" x14ac:dyDescent="0.3">
      <c r="A489" t="s">
        <v>26</v>
      </c>
      <c r="B489" t="s">
        <v>1934</v>
      </c>
      <c r="C489" t="s">
        <v>1935</v>
      </c>
      <c r="D489" t="s">
        <v>18</v>
      </c>
      <c r="E489" t="s">
        <v>19</v>
      </c>
      <c r="F489" t="s">
        <v>1936</v>
      </c>
      <c r="G489" t="s">
        <v>1937</v>
      </c>
      <c r="H489">
        <v>0</v>
      </c>
      <c r="I489">
        <v>250</v>
      </c>
      <c r="J489">
        <v>0</v>
      </c>
      <c r="K489">
        <v>0</v>
      </c>
      <c r="L489">
        <v>0</v>
      </c>
      <c r="M489">
        <v>250</v>
      </c>
      <c r="N489">
        <v>0</v>
      </c>
      <c r="O489">
        <v>0</v>
      </c>
    </row>
    <row r="490" spans="1:15" x14ac:dyDescent="0.3">
      <c r="A490" t="s">
        <v>26</v>
      </c>
      <c r="B490" t="s">
        <v>1938</v>
      </c>
      <c r="C490" t="s">
        <v>1939</v>
      </c>
      <c r="D490" t="s">
        <v>18</v>
      </c>
      <c r="E490" t="s">
        <v>19</v>
      </c>
      <c r="F490" t="s">
        <v>1940</v>
      </c>
      <c r="G490" t="s">
        <v>1941</v>
      </c>
      <c r="H490">
        <v>0</v>
      </c>
      <c r="I490">
        <v>250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3">
      <c r="A491" t="s">
        <v>26</v>
      </c>
      <c r="B491" t="s">
        <v>1942</v>
      </c>
      <c r="C491" t="s">
        <v>1943</v>
      </c>
      <c r="D491" t="s">
        <v>18</v>
      </c>
      <c r="E491" t="s">
        <v>19</v>
      </c>
      <c r="F491" t="s">
        <v>1944</v>
      </c>
      <c r="G491" t="s">
        <v>1945</v>
      </c>
      <c r="H491">
        <v>0</v>
      </c>
      <c r="I491">
        <v>383</v>
      </c>
      <c r="J491">
        <v>239</v>
      </c>
      <c r="K491">
        <v>187</v>
      </c>
      <c r="L491">
        <v>0</v>
      </c>
      <c r="M491">
        <v>383</v>
      </c>
      <c r="N491">
        <v>0</v>
      </c>
      <c r="O491">
        <v>0</v>
      </c>
    </row>
    <row r="492" spans="1:15" x14ac:dyDescent="0.3">
      <c r="A492" t="s">
        <v>26</v>
      </c>
      <c r="B492" t="s">
        <v>1946</v>
      </c>
      <c r="C492" t="s">
        <v>1947</v>
      </c>
      <c r="D492" t="s">
        <v>18</v>
      </c>
      <c r="E492" t="s">
        <v>19</v>
      </c>
      <c r="F492" t="s">
        <v>1948</v>
      </c>
      <c r="G492" t="s">
        <v>1949</v>
      </c>
      <c r="H492">
        <v>0</v>
      </c>
      <c r="I492">
        <v>250</v>
      </c>
      <c r="J492">
        <v>0</v>
      </c>
      <c r="K492">
        <v>0</v>
      </c>
      <c r="L492">
        <v>0</v>
      </c>
      <c r="M492">
        <v>250</v>
      </c>
      <c r="N492">
        <v>0</v>
      </c>
      <c r="O492">
        <v>0</v>
      </c>
    </row>
    <row r="493" spans="1:15" x14ac:dyDescent="0.3">
      <c r="A493" t="s">
        <v>26</v>
      </c>
      <c r="B493" t="s">
        <v>1950</v>
      </c>
      <c r="C493" t="s">
        <v>1951</v>
      </c>
      <c r="D493" t="s">
        <v>18</v>
      </c>
      <c r="E493" t="s">
        <v>19</v>
      </c>
      <c r="F493" t="s">
        <v>1952</v>
      </c>
      <c r="G493" t="s">
        <v>1953</v>
      </c>
      <c r="H493">
        <v>0</v>
      </c>
      <c r="I493">
        <v>429</v>
      </c>
      <c r="J493">
        <v>0</v>
      </c>
      <c r="K493">
        <v>0</v>
      </c>
      <c r="L493">
        <v>0</v>
      </c>
      <c r="M493">
        <v>429</v>
      </c>
      <c r="N493">
        <v>179</v>
      </c>
      <c r="O493">
        <v>0</v>
      </c>
    </row>
    <row r="494" spans="1:15" x14ac:dyDescent="0.3">
      <c r="A494" t="s">
        <v>26</v>
      </c>
      <c r="B494" t="s">
        <v>1954</v>
      </c>
      <c r="C494" t="s">
        <v>1955</v>
      </c>
      <c r="D494" t="s">
        <v>18</v>
      </c>
      <c r="E494" t="s">
        <v>19</v>
      </c>
      <c r="F494" t="s">
        <v>1956</v>
      </c>
      <c r="G494" t="s">
        <v>1957</v>
      </c>
      <c r="H494">
        <v>9800</v>
      </c>
      <c r="I494">
        <v>20811</v>
      </c>
      <c r="J494">
        <v>38342</v>
      </c>
      <c r="K494">
        <v>0</v>
      </c>
      <c r="L494">
        <v>0</v>
      </c>
      <c r="M494">
        <v>6623</v>
      </c>
      <c r="N494">
        <v>0</v>
      </c>
      <c r="O494">
        <v>0</v>
      </c>
    </row>
    <row r="495" spans="1:15" x14ac:dyDescent="0.3">
      <c r="A495" t="s">
        <v>26</v>
      </c>
      <c r="B495" t="s">
        <v>1958</v>
      </c>
      <c r="C495" t="s">
        <v>1959</v>
      </c>
      <c r="D495" t="s">
        <v>18</v>
      </c>
      <c r="E495" t="s">
        <v>19</v>
      </c>
      <c r="F495" t="s">
        <v>1960</v>
      </c>
      <c r="G495" t="s">
        <v>1961</v>
      </c>
      <c r="H495">
        <v>0</v>
      </c>
      <c r="I495">
        <v>250</v>
      </c>
      <c r="J495">
        <v>17315</v>
      </c>
      <c r="K495">
        <v>0</v>
      </c>
      <c r="L495">
        <v>0</v>
      </c>
      <c r="M495">
        <v>250</v>
      </c>
      <c r="N495">
        <v>0</v>
      </c>
      <c r="O495">
        <v>0</v>
      </c>
    </row>
    <row r="496" spans="1:15" x14ac:dyDescent="0.3">
      <c r="A496" t="s">
        <v>26</v>
      </c>
      <c r="B496" t="s">
        <v>1962</v>
      </c>
      <c r="C496" t="s">
        <v>1963</v>
      </c>
      <c r="D496" t="s">
        <v>18</v>
      </c>
      <c r="E496" t="s">
        <v>19</v>
      </c>
      <c r="F496" t="s">
        <v>1964</v>
      </c>
      <c r="G496" t="s">
        <v>1965</v>
      </c>
      <c r="H496">
        <v>0</v>
      </c>
      <c r="I496">
        <v>250</v>
      </c>
      <c r="J496">
        <v>1328</v>
      </c>
      <c r="K496">
        <v>861</v>
      </c>
      <c r="L496">
        <v>0</v>
      </c>
      <c r="M496">
        <v>250</v>
      </c>
      <c r="N496">
        <v>0</v>
      </c>
      <c r="O496">
        <v>0</v>
      </c>
    </row>
    <row r="497" spans="1:15" x14ac:dyDescent="0.3">
      <c r="A497" t="s">
        <v>26</v>
      </c>
      <c r="B497" t="s">
        <v>1966</v>
      </c>
      <c r="C497" t="s">
        <v>1967</v>
      </c>
      <c r="D497" t="s">
        <v>18</v>
      </c>
      <c r="E497" t="s">
        <v>19</v>
      </c>
      <c r="F497" t="s">
        <v>1968</v>
      </c>
      <c r="G497">
        <f>254721439129 / 717566877</f>
        <v>354.97937167046803</v>
      </c>
      <c r="H497">
        <v>1288</v>
      </c>
      <c r="I497">
        <v>5412</v>
      </c>
      <c r="J497">
        <v>12047</v>
      </c>
      <c r="K497">
        <v>3150</v>
      </c>
      <c r="L497">
        <v>0</v>
      </c>
      <c r="M497">
        <v>2950</v>
      </c>
      <c r="N497">
        <v>0</v>
      </c>
      <c r="O497">
        <v>0</v>
      </c>
    </row>
    <row r="498" spans="1:15" x14ac:dyDescent="0.3">
      <c r="A498" t="s">
        <v>26</v>
      </c>
      <c r="B498" t="s">
        <v>1969</v>
      </c>
      <c r="C498" t="s">
        <v>1970</v>
      </c>
      <c r="D498" t="s">
        <v>18</v>
      </c>
      <c r="E498" t="s">
        <v>19</v>
      </c>
      <c r="F498" t="s">
        <v>1971</v>
      </c>
      <c r="G498" t="s">
        <v>1972</v>
      </c>
      <c r="H498">
        <v>0</v>
      </c>
      <c r="I498">
        <v>1124</v>
      </c>
      <c r="J498">
        <v>3009</v>
      </c>
      <c r="K498">
        <v>0</v>
      </c>
      <c r="L498">
        <v>0</v>
      </c>
      <c r="M498">
        <v>1124</v>
      </c>
      <c r="N498">
        <v>509</v>
      </c>
      <c r="O498">
        <v>0</v>
      </c>
    </row>
    <row r="499" spans="1:15" x14ac:dyDescent="0.3">
      <c r="A499" t="s">
        <v>26</v>
      </c>
      <c r="B499" t="s">
        <v>1973</v>
      </c>
      <c r="C499" t="s">
        <v>1974</v>
      </c>
      <c r="D499" t="s">
        <v>18</v>
      </c>
      <c r="E499" t="s">
        <v>19</v>
      </c>
      <c r="F499" t="s">
        <v>1975</v>
      </c>
      <c r="G499" t="s">
        <v>1976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3">
      <c r="A500" t="s">
        <v>26</v>
      </c>
      <c r="B500" t="s">
        <v>1977</v>
      </c>
      <c r="C500" t="s">
        <v>1978</v>
      </c>
      <c r="D500" t="s">
        <v>18</v>
      </c>
      <c r="E500" t="s">
        <v>19</v>
      </c>
      <c r="F500" t="s">
        <v>1979</v>
      </c>
      <c r="G500">
        <f>254721748985 / 254721748985</f>
        <v>1</v>
      </c>
      <c r="H500">
        <v>0</v>
      </c>
      <c r="I500">
        <v>250</v>
      </c>
      <c r="J500">
        <v>6985</v>
      </c>
      <c r="K500">
        <v>0</v>
      </c>
      <c r="L500">
        <v>0</v>
      </c>
      <c r="M500">
        <v>250</v>
      </c>
      <c r="N500">
        <v>0</v>
      </c>
      <c r="O500">
        <v>0</v>
      </c>
    </row>
    <row r="501" spans="1:15" x14ac:dyDescent="0.3">
      <c r="A501" t="s">
        <v>26</v>
      </c>
      <c r="B501" t="s">
        <v>1980</v>
      </c>
      <c r="C501" t="s">
        <v>1981</v>
      </c>
      <c r="D501" t="s">
        <v>18</v>
      </c>
      <c r="E501" t="s">
        <v>19</v>
      </c>
      <c r="F501" t="s">
        <v>1982</v>
      </c>
      <c r="G501" t="s">
        <v>1983</v>
      </c>
      <c r="H501">
        <v>0</v>
      </c>
      <c r="I501">
        <v>1208</v>
      </c>
      <c r="J501">
        <v>0</v>
      </c>
      <c r="K501">
        <v>0</v>
      </c>
      <c r="L501">
        <v>0</v>
      </c>
      <c r="M501">
        <v>373</v>
      </c>
      <c r="N501">
        <v>0</v>
      </c>
      <c r="O501">
        <v>0</v>
      </c>
    </row>
    <row r="502" spans="1:15" x14ac:dyDescent="0.3">
      <c r="A502" t="s">
        <v>26</v>
      </c>
      <c r="B502" t="s">
        <v>1984</v>
      </c>
      <c r="C502" t="s">
        <v>1985</v>
      </c>
      <c r="D502" t="s">
        <v>18</v>
      </c>
      <c r="E502" t="s">
        <v>19</v>
      </c>
      <c r="F502" t="s">
        <v>1986</v>
      </c>
      <c r="G502" t="s">
        <v>1987</v>
      </c>
      <c r="H502">
        <v>3805</v>
      </c>
      <c r="I502">
        <v>7811</v>
      </c>
      <c r="J502">
        <v>38036</v>
      </c>
      <c r="K502">
        <v>9418</v>
      </c>
      <c r="L502">
        <v>7650</v>
      </c>
      <c r="M502">
        <v>5567</v>
      </c>
      <c r="N502">
        <v>0</v>
      </c>
      <c r="O502">
        <v>0</v>
      </c>
    </row>
    <row r="503" spans="1:15" x14ac:dyDescent="0.3">
      <c r="A503" t="s">
        <v>26</v>
      </c>
      <c r="B503" t="s">
        <v>1988</v>
      </c>
      <c r="C503" t="s">
        <v>1989</v>
      </c>
      <c r="D503" t="s">
        <v>18</v>
      </c>
      <c r="E503" t="s">
        <v>19</v>
      </c>
      <c r="F503" t="s">
        <v>1990</v>
      </c>
      <c r="G503" t="s">
        <v>1991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3">
      <c r="A504" t="s">
        <v>26</v>
      </c>
      <c r="B504" t="s">
        <v>1992</v>
      </c>
      <c r="C504" t="s">
        <v>1993</v>
      </c>
      <c r="D504" t="s">
        <v>18</v>
      </c>
      <c r="E504" t="s">
        <v>19</v>
      </c>
      <c r="F504" t="s">
        <v>1994</v>
      </c>
      <c r="G504" t="s">
        <v>1995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3">
      <c r="A505" t="s">
        <v>26</v>
      </c>
      <c r="B505" t="s">
        <v>1996</v>
      </c>
      <c r="C505" t="s">
        <v>1997</v>
      </c>
      <c r="D505" t="s">
        <v>18</v>
      </c>
      <c r="E505" t="s">
        <v>19</v>
      </c>
      <c r="F505" t="s">
        <v>1998</v>
      </c>
      <c r="G505" t="s">
        <v>1999</v>
      </c>
      <c r="H505">
        <v>0</v>
      </c>
      <c r="I505">
        <v>250</v>
      </c>
      <c r="J505">
        <v>0</v>
      </c>
      <c r="K505">
        <v>0</v>
      </c>
      <c r="L505">
        <v>0</v>
      </c>
      <c r="M505">
        <v>250</v>
      </c>
      <c r="N505">
        <v>0</v>
      </c>
      <c r="O505">
        <v>0</v>
      </c>
    </row>
    <row r="506" spans="1:15" x14ac:dyDescent="0.3">
      <c r="A506" t="s">
        <v>26</v>
      </c>
      <c r="B506" t="s">
        <v>2000</v>
      </c>
      <c r="C506" t="s">
        <v>2001</v>
      </c>
      <c r="D506" t="s">
        <v>18</v>
      </c>
      <c r="E506" t="s">
        <v>19</v>
      </c>
      <c r="F506" t="s">
        <v>2002</v>
      </c>
      <c r="G506" t="s">
        <v>2003</v>
      </c>
      <c r="H506">
        <v>0</v>
      </c>
      <c r="I506">
        <v>1398</v>
      </c>
      <c r="J506">
        <v>0</v>
      </c>
      <c r="K506">
        <v>0</v>
      </c>
      <c r="L506">
        <v>0</v>
      </c>
      <c r="M506">
        <v>790</v>
      </c>
      <c r="N506">
        <v>540</v>
      </c>
      <c r="O506">
        <v>0</v>
      </c>
    </row>
    <row r="507" spans="1:15" x14ac:dyDescent="0.3">
      <c r="A507" t="s">
        <v>26</v>
      </c>
      <c r="B507" t="s">
        <v>2004</v>
      </c>
      <c r="C507" t="s">
        <v>2005</v>
      </c>
      <c r="D507" t="s">
        <v>18</v>
      </c>
      <c r="E507" t="s">
        <v>19</v>
      </c>
      <c r="F507" t="s">
        <v>2006</v>
      </c>
      <c r="G507" t="s">
        <v>2007</v>
      </c>
      <c r="H507">
        <v>0</v>
      </c>
      <c r="I507">
        <v>250</v>
      </c>
      <c r="J507">
        <v>0</v>
      </c>
      <c r="K507">
        <v>0</v>
      </c>
      <c r="L507">
        <v>0</v>
      </c>
      <c r="M507">
        <v>250</v>
      </c>
      <c r="N507">
        <v>0</v>
      </c>
      <c r="O507">
        <v>0</v>
      </c>
    </row>
    <row r="508" spans="1:15" x14ac:dyDescent="0.3">
      <c r="A508" t="s">
        <v>26</v>
      </c>
      <c r="B508" t="s">
        <v>2008</v>
      </c>
      <c r="C508" t="s">
        <v>2009</v>
      </c>
      <c r="D508" t="s">
        <v>18</v>
      </c>
      <c r="E508" t="s">
        <v>19</v>
      </c>
      <c r="F508" t="s">
        <v>2010</v>
      </c>
      <c r="G508" t="s">
        <v>2011</v>
      </c>
      <c r="H508">
        <v>0</v>
      </c>
      <c r="I508">
        <v>250</v>
      </c>
      <c r="J508">
        <v>0</v>
      </c>
      <c r="K508">
        <v>0</v>
      </c>
      <c r="L508">
        <v>0</v>
      </c>
      <c r="M508">
        <v>250</v>
      </c>
      <c r="N508">
        <v>0</v>
      </c>
      <c r="O508">
        <v>0</v>
      </c>
    </row>
    <row r="509" spans="1:15" x14ac:dyDescent="0.3">
      <c r="A509" t="s">
        <v>26</v>
      </c>
      <c r="B509" t="s">
        <v>2012</v>
      </c>
      <c r="C509" t="s">
        <v>2013</v>
      </c>
      <c r="D509" t="s">
        <v>18</v>
      </c>
      <c r="E509" t="s">
        <v>19</v>
      </c>
      <c r="F509" t="s">
        <v>2014</v>
      </c>
      <c r="G509" t="s">
        <v>2015</v>
      </c>
      <c r="H509">
        <v>0</v>
      </c>
      <c r="I509">
        <v>250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3">
      <c r="A510" t="s">
        <v>26</v>
      </c>
      <c r="B510" t="s">
        <v>2016</v>
      </c>
      <c r="C510" t="s">
        <v>2017</v>
      </c>
      <c r="D510" t="s">
        <v>18</v>
      </c>
      <c r="E510" t="s">
        <v>19</v>
      </c>
      <c r="F510" t="s">
        <v>2018</v>
      </c>
      <c r="G510" t="s">
        <v>2019</v>
      </c>
      <c r="H510">
        <v>0</v>
      </c>
      <c r="I510">
        <v>250</v>
      </c>
      <c r="J510">
        <v>1862</v>
      </c>
      <c r="K510">
        <v>0</v>
      </c>
      <c r="L510">
        <v>0</v>
      </c>
      <c r="M510">
        <v>250</v>
      </c>
      <c r="N510">
        <v>0</v>
      </c>
      <c r="O510">
        <v>0</v>
      </c>
    </row>
    <row r="511" spans="1:15" x14ac:dyDescent="0.3">
      <c r="A511" t="s">
        <v>26</v>
      </c>
      <c r="B511" t="s">
        <v>2020</v>
      </c>
      <c r="C511" t="s">
        <v>2021</v>
      </c>
      <c r="D511" t="s">
        <v>18</v>
      </c>
      <c r="E511" t="s">
        <v>19</v>
      </c>
      <c r="F511" t="s">
        <v>2022</v>
      </c>
      <c r="G511" t="s">
        <v>2023</v>
      </c>
      <c r="H511">
        <v>0</v>
      </c>
      <c r="I511">
        <v>250</v>
      </c>
      <c r="J511">
        <v>0</v>
      </c>
      <c r="K511">
        <v>0</v>
      </c>
      <c r="L511">
        <v>0</v>
      </c>
      <c r="M511">
        <v>250</v>
      </c>
      <c r="N511">
        <v>0</v>
      </c>
      <c r="O511">
        <v>0</v>
      </c>
    </row>
    <row r="512" spans="1:15" x14ac:dyDescent="0.3">
      <c r="A512" t="s">
        <v>26</v>
      </c>
      <c r="B512" t="s">
        <v>2024</v>
      </c>
      <c r="C512" t="s">
        <v>2025</v>
      </c>
      <c r="D512" t="s">
        <v>18</v>
      </c>
      <c r="E512" t="s">
        <v>19</v>
      </c>
      <c r="F512" t="s">
        <v>2026</v>
      </c>
      <c r="G512" t="s">
        <v>2027</v>
      </c>
      <c r="H512">
        <v>0</v>
      </c>
      <c r="I512">
        <v>250</v>
      </c>
      <c r="J512">
        <v>2301</v>
      </c>
      <c r="K512">
        <v>661</v>
      </c>
      <c r="L512">
        <v>0</v>
      </c>
      <c r="M512">
        <v>250</v>
      </c>
      <c r="N512">
        <v>0</v>
      </c>
      <c r="O512">
        <v>0</v>
      </c>
    </row>
    <row r="513" spans="1:15" x14ac:dyDescent="0.3">
      <c r="A513" t="s">
        <v>26</v>
      </c>
      <c r="B513" t="s">
        <v>2028</v>
      </c>
      <c r="C513" t="s">
        <v>2029</v>
      </c>
      <c r="D513" t="s">
        <v>18</v>
      </c>
      <c r="E513" t="s">
        <v>19</v>
      </c>
      <c r="F513" t="s">
        <v>2030</v>
      </c>
      <c r="G513" t="s">
        <v>2031</v>
      </c>
      <c r="H513">
        <v>0</v>
      </c>
      <c r="I513">
        <v>250</v>
      </c>
      <c r="J513">
        <v>0</v>
      </c>
      <c r="K513">
        <v>0</v>
      </c>
      <c r="L513">
        <v>0</v>
      </c>
      <c r="M513">
        <v>250</v>
      </c>
      <c r="N513">
        <v>0</v>
      </c>
      <c r="O513">
        <v>0</v>
      </c>
    </row>
    <row r="514" spans="1:15" x14ac:dyDescent="0.3">
      <c r="A514" t="s">
        <v>26</v>
      </c>
      <c r="B514" t="s">
        <v>2032</v>
      </c>
      <c r="C514" t="s">
        <v>2033</v>
      </c>
      <c r="D514" t="s">
        <v>18</v>
      </c>
      <c r="E514" t="s">
        <v>19</v>
      </c>
      <c r="F514" t="s">
        <v>2034</v>
      </c>
      <c r="G514" t="s">
        <v>2035</v>
      </c>
      <c r="H514">
        <v>0</v>
      </c>
      <c r="I514">
        <v>250</v>
      </c>
      <c r="J514">
        <v>0</v>
      </c>
      <c r="K514">
        <v>0</v>
      </c>
      <c r="L514">
        <v>0</v>
      </c>
      <c r="M514">
        <v>250</v>
      </c>
      <c r="N514">
        <v>0</v>
      </c>
      <c r="O514">
        <v>0</v>
      </c>
    </row>
    <row r="515" spans="1:15" x14ac:dyDescent="0.3">
      <c r="A515" t="s">
        <v>26</v>
      </c>
      <c r="B515" t="s">
        <v>2036</v>
      </c>
      <c r="C515" t="s">
        <v>2037</v>
      </c>
      <c r="D515" t="s">
        <v>18</v>
      </c>
      <c r="E515" t="s">
        <v>19</v>
      </c>
      <c r="F515" t="s">
        <v>2038</v>
      </c>
      <c r="G515" t="s">
        <v>2039</v>
      </c>
      <c r="H515">
        <v>402</v>
      </c>
      <c r="I515">
        <v>586</v>
      </c>
      <c r="J515">
        <v>1376</v>
      </c>
      <c r="K515">
        <v>0</v>
      </c>
      <c r="L515">
        <v>0</v>
      </c>
      <c r="M515">
        <v>250</v>
      </c>
      <c r="N515">
        <v>0</v>
      </c>
      <c r="O515">
        <v>0</v>
      </c>
    </row>
    <row r="516" spans="1:15" x14ac:dyDescent="0.3">
      <c r="A516" t="s">
        <v>26</v>
      </c>
      <c r="B516" t="s">
        <v>2040</v>
      </c>
      <c r="C516" t="s">
        <v>2041</v>
      </c>
      <c r="D516" t="s">
        <v>18</v>
      </c>
      <c r="E516" t="s">
        <v>19</v>
      </c>
      <c r="F516" t="s">
        <v>2042</v>
      </c>
      <c r="G516" t="s">
        <v>2043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3">
      <c r="A517" t="s">
        <v>26</v>
      </c>
      <c r="B517" t="s">
        <v>2044</v>
      </c>
      <c r="C517" t="s">
        <v>2045</v>
      </c>
      <c r="D517" t="s">
        <v>18</v>
      </c>
      <c r="E517" t="s">
        <v>19</v>
      </c>
      <c r="F517" t="s">
        <v>2046</v>
      </c>
      <c r="G517" t="s">
        <v>2047</v>
      </c>
      <c r="H517">
        <v>0</v>
      </c>
      <c r="I517">
        <v>630</v>
      </c>
      <c r="J517">
        <v>1814</v>
      </c>
      <c r="K517">
        <v>203</v>
      </c>
      <c r="L517">
        <v>0</v>
      </c>
      <c r="M517">
        <v>630</v>
      </c>
      <c r="N517">
        <v>0</v>
      </c>
      <c r="O517">
        <v>0</v>
      </c>
    </row>
    <row r="518" spans="1:15" x14ac:dyDescent="0.3">
      <c r="A518" t="s">
        <v>26</v>
      </c>
      <c r="B518" t="s">
        <v>2048</v>
      </c>
      <c r="C518" t="s">
        <v>2049</v>
      </c>
      <c r="D518" t="s">
        <v>18</v>
      </c>
      <c r="E518" t="s">
        <v>19</v>
      </c>
      <c r="F518" t="s">
        <v>2050</v>
      </c>
      <c r="G518" t="s">
        <v>2051</v>
      </c>
      <c r="H518">
        <v>0</v>
      </c>
      <c r="I518">
        <v>250</v>
      </c>
      <c r="J518">
        <v>0</v>
      </c>
      <c r="K518">
        <v>0</v>
      </c>
      <c r="L518">
        <v>0</v>
      </c>
      <c r="M518">
        <v>250</v>
      </c>
      <c r="N518">
        <v>0</v>
      </c>
      <c r="O518">
        <v>0</v>
      </c>
    </row>
    <row r="519" spans="1:15" x14ac:dyDescent="0.3">
      <c r="A519" t="s">
        <v>26</v>
      </c>
      <c r="B519" t="s">
        <v>2052</v>
      </c>
      <c r="C519" t="s">
        <v>2053</v>
      </c>
      <c r="D519" t="s">
        <v>18</v>
      </c>
      <c r="E519" t="s">
        <v>19</v>
      </c>
      <c r="F519" t="s">
        <v>2054</v>
      </c>
      <c r="G519" t="s">
        <v>469</v>
      </c>
      <c r="H519">
        <v>0</v>
      </c>
      <c r="I519">
        <v>250</v>
      </c>
      <c r="J519">
        <v>0</v>
      </c>
      <c r="K519">
        <v>0</v>
      </c>
      <c r="L519">
        <v>0</v>
      </c>
      <c r="M519">
        <v>250</v>
      </c>
      <c r="N519">
        <v>0</v>
      </c>
      <c r="O519">
        <v>0</v>
      </c>
    </row>
    <row r="520" spans="1:15" x14ac:dyDescent="0.3">
      <c r="A520" t="s">
        <v>26</v>
      </c>
      <c r="B520" t="s">
        <v>2055</v>
      </c>
      <c r="C520" t="s">
        <v>2056</v>
      </c>
      <c r="D520" t="s">
        <v>18</v>
      </c>
      <c r="E520" t="s">
        <v>19</v>
      </c>
      <c r="F520" t="s">
        <v>2057</v>
      </c>
      <c r="G520" t="s">
        <v>2058</v>
      </c>
      <c r="H520">
        <v>0</v>
      </c>
      <c r="I520">
        <v>250</v>
      </c>
      <c r="J520">
        <v>0</v>
      </c>
      <c r="K520">
        <v>0</v>
      </c>
      <c r="L520">
        <v>0</v>
      </c>
      <c r="M520">
        <v>250</v>
      </c>
      <c r="N520">
        <v>0</v>
      </c>
      <c r="O520">
        <v>0</v>
      </c>
    </row>
    <row r="521" spans="1:15" x14ac:dyDescent="0.3">
      <c r="A521" t="s">
        <v>26</v>
      </c>
      <c r="B521" t="s">
        <v>2059</v>
      </c>
      <c r="C521" t="s">
        <v>2060</v>
      </c>
      <c r="D521" t="s">
        <v>18</v>
      </c>
      <c r="E521" t="s">
        <v>19</v>
      </c>
      <c r="F521" t="s">
        <v>2061</v>
      </c>
      <c r="G521" t="s">
        <v>2062</v>
      </c>
      <c r="H521">
        <v>0</v>
      </c>
      <c r="I521">
        <v>250</v>
      </c>
      <c r="J521">
        <v>23005</v>
      </c>
      <c r="K521">
        <v>0</v>
      </c>
      <c r="L521">
        <v>0</v>
      </c>
      <c r="M521">
        <v>250</v>
      </c>
      <c r="N521">
        <v>0</v>
      </c>
      <c r="O521">
        <v>0</v>
      </c>
    </row>
    <row r="522" spans="1:15" x14ac:dyDescent="0.3">
      <c r="A522" t="s">
        <v>26</v>
      </c>
      <c r="B522" t="s">
        <v>2063</v>
      </c>
      <c r="C522" t="s">
        <v>2064</v>
      </c>
      <c r="D522" t="s">
        <v>18</v>
      </c>
      <c r="E522" t="s">
        <v>19</v>
      </c>
      <c r="F522" t="s">
        <v>2065</v>
      </c>
      <c r="G522" t="s">
        <v>2066</v>
      </c>
      <c r="H522">
        <v>0</v>
      </c>
      <c r="I522">
        <v>250</v>
      </c>
      <c r="J522">
        <v>0</v>
      </c>
      <c r="K522">
        <v>0</v>
      </c>
      <c r="L522">
        <v>0</v>
      </c>
      <c r="M522">
        <v>250</v>
      </c>
      <c r="N522">
        <v>0</v>
      </c>
      <c r="O522">
        <v>0</v>
      </c>
    </row>
    <row r="523" spans="1:15" x14ac:dyDescent="0.3">
      <c r="A523" t="s">
        <v>26</v>
      </c>
      <c r="B523" t="s">
        <v>2067</v>
      </c>
      <c r="C523" t="s">
        <v>2068</v>
      </c>
      <c r="D523" t="s">
        <v>18</v>
      </c>
      <c r="E523" t="s">
        <v>19</v>
      </c>
      <c r="F523" t="s">
        <v>2069</v>
      </c>
      <c r="G523" t="s">
        <v>2070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3">
      <c r="A524" t="s">
        <v>26</v>
      </c>
      <c r="B524" t="s">
        <v>2071</v>
      </c>
      <c r="C524" t="s">
        <v>2072</v>
      </c>
      <c r="D524" t="s">
        <v>18</v>
      </c>
      <c r="E524" t="s">
        <v>19</v>
      </c>
      <c r="F524" t="s">
        <v>2073</v>
      </c>
      <c r="G524" t="s">
        <v>2074</v>
      </c>
      <c r="H524">
        <v>0</v>
      </c>
      <c r="I524">
        <v>1035</v>
      </c>
      <c r="J524">
        <v>580</v>
      </c>
      <c r="K524">
        <v>0</v>
      </c>
      <c r="L524">
        <v>2400</v>
      </c>
      <c r="M524">
        <v>1035</v>
      </c>
      <c r="N524">
        <v>0</v>
      </c>
      <c r="O524">
        <v>0</v>
      </c>
    </row>
    <row r="525" spans="1:15" x14ac:dyDescent="0.3">
      <c r="A525" t="s">
        <v>26</v>
      </c>
      <c r="B525" t="s">
        <v>2075</v>
      </c>
      <c r="C525" t="s">
        <v>2076</v>
      </c>
      <c r="D525" t="s">
        <v>18</v>
      </c>
      <c r="E525" t="s">
        <v>19</v>
      </c>
      <c r="F525" t="s">
        <v>2077</v>
      </c>
      <c r="G525" t="s">
        <v>2078</v>
      </c>
      <c r="H525">
        <v>0</v>
      </c>
      <c r="I525">
        <v>250</v>
      </c>
      <c r="J525">
        <v>0</v>
      </c>
      <c r="K525">
        <v>0</v>
      </c>
      <c r="L525">
        <v>0</v>
      </c>
      <c r="M525">
        <v>250</v>
      </c>
      <c r="N525">
        <v>0</v>
      </c>
      <c r="O525">
        <v>0</v>
      </c>
    </row>
    <row r="526" spans="1:15" x14ac:dyDescent="0.3">
      <c r="A526" t="s">
        <v>26</v>
      </c>
      <c r="B526" t="s">
        <v>2079</v>
      </c>
      <c r="C526" t="s">
        <v>2080</v>
      </c>
      <c r="D526" t="s">
        <v>18</v>
      </c>
      <c r="E526" t="s">
        <v>19</v>
      </c>
      <c r="F526" t="s">
        <v>2081</v>
      </c>
      <c r="G526" t="s">
        <v>2082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3">
      <c r="A527" t="s">
        <v>26</v>
      </c>
      <c r="B527" t="s">
        <v>2083</v>
      </c>
      <c r="C527" t="s">
        <v>2084</v>
      </c>
      <c r="D527" t="s">
        <v>18</v>
      </c>
      <c r="E527" t="s">
        <v>19</v>
      </c>
      <c r="F527" t="s">
        <v>2085</v>
      </c>
      <c r="G527" t="s">
        <v>2086</v>
      </c>
      <c r="H527">
        <v>0</v>
      </c>
      <c r="I527">
        <v>250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3">
      <c r="A528" t="s">
        <v>26</v>
      </c>
      <c r="B528" t="s">
        <v>2087</v>
      </c>
      <c r="C528" t="s">
        <v>2088</v>
      </c>
      <c r="D528" t="s">
        <v>18</v>
      </c>
      <c r="E528" t="s">
        <v>19</v>
      </c>
      <c r="F528" t="s">
        <v>2089</v>
      </c>
      <c r="G528" t="s">
        <v>2090</v>
      </c>
      <c r="H528">
        <v>0</v>
      </c>
      <c r="I528">
        <v>250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3">
      <c r="A529" t="s">
        <v>26</v>
      </c>
      <c r="B529" t="s">
        <v>2091</v>
      </c>
      <c r="C529" t="s">
        <v>2092</v>
      </c>
      <c r="D529" t="s">
        <v>18</v>
      </c>
      <c r="E529" t="s">
        <v>19</v>
      </c>
      <c r="F529" t="s">
        <v>2093</v>
      </c>
      <c r="G529" t="s">
        <v>2094</v>
      </c>
      <c r="H529">
        <v>0</v>
      </c>
      <c r="I529">
        <v>250</v>
      </c>
      <c r="J529">
        <v>0</v>
      </c>
      <c r="K529">
        <v>0</v>
      </c>
      <c r="L529">
        <v>0</v>
      </c>
      <c r="M529">
        <v>250</v>
      </c>
      <c r="N529">
        <v>0</v>
      </c>
      <c r="O529">
        <v>0</v>
      </c>
    </row>
    <row r="530" spans="1:15" x14ac:dyDescent="0.3">
      <c r="A530" t="s">
        <v>26</v>
      </c>
      <c r="B530" t="s">
        <v>2095</v>
      </c>
      <c r="C530" t="s">
        <v>2096</v>
      </c>
      <c r="D530" t="s">
        <v>18</v>
      </c>
      <c r="E530" t="s">
        <v>19</v>
      </c>
      <c r="F530" t="s">
        <v>2097</v>
      </c>
      <c r="G530" t="s">
        <v>2098</v>
      </c>
      <c r="H530">
        <v>0</v>
      </c>
      <c r="I530">
        <v>250</v>
      </c>
      <c r="J530">
        <v>199</v>
      </c>
      <c r="K530">
        <v>0</v>
      </c>
      <c r="L530">
        <v>0</v>
      </c>
      <c r="M530">
        <v>250</v>
      </c>
      <c r="N530">
        <v>0</v>
      </c>
      <c r="O530">
        <v>0</v>
      </c>
    </row>
    <row r="531" spans="1:15" x14ac:dyDescent="0.3">
      <c r="A531" t="s">
        <v>26</v>
      </c>
      <c r="B531" t="s">
        <v>2099</v>
      </c>
      <c r="C531" t="s">
        <v>2100</v>
      </c>
      <c r="D531" t="s">
        <v>18</v>
      </c>
      <c r="E531" t="s">
        <v>19</v>
      </c>
      <c r="F531" t="s">
        <v>2101</v>
      </c>
      <c r="G531" t="s">
        <v>2102</v>
      </c>
      <c r="H531">
        <v>12166</v>
      </c>
      <c r="I531">
        <v>11891</v>
      </c>
      <c r="J531">
        <v>62557</v>
      </c>
      <c r="K531">
        <v>0</v>
      </c>
      <c r="L531">
        <v>0</v>
      </c>
      <c r="M531">
        <v>6488</v>
      </c>
      <c r="N531">
        <v>207</v>
      </c>
      <c r="O531">
        <v>0</v>
      </c>
    </row>
    <row r="532" spans="1:15" x14ac:dyDescent="0.3">
      <c r="A532" t="s">
        <v>26</v>
      </c>
      <c r="B532" t="s">
        <v>2103</v>
      </c>
      <c r="C532" t="s">
        <v>2104</v>
      </c>
      <c r="D532" t="s">
        <v>18</v>
      </c>
      <c r="E532" t="s">
        <v>19</v>
      </c>
      <c r="F532" t="s">
        <v>2105</v>
      </c>
      <c r="G532" t="s">
        <v>2106</v>
      </c>
      <c r="H532">
        <v>0</v>
      </c>
      <c r="I532">
        <v>250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3">
      <c r="A533" t="s">
        <v>26</v>
      </c>
      <c r="B533" t="s">
        <v>2107</v>
      </c>
      <c r="C533" t="s">
        <v>2108</v>
      </c>
      <c r="D533" t="s">
        <v>18</v>
      </c>
      <c r="E533" t="s">
        <v>19</v>
      </c>
      <c r="F533" t="s">
        <v>2109</v>
      </c>
      <c r="G533" t="s">
        <v>2110</v>
      </c>
      <c r="H533">
        <v>0</v>
      </c>
      <c r="I533">
        <v>250</v>
      </c>
      <c r="J533">
        <v>0</v>
      </c>
      <c r="K533">
        <v>0</v>
      </c>
      <c r="L533">
        <v>0</v>
      </c>
      <c r="M533">
        <v>250</v>
      </c>
      <c r="N533">
        <v>0</v>
      </c>
      <c r="O533">
        <v>0</v>
      </c>
    </row>
    <row r="534" spans="1:15" x14ac:dyDescent="0.3">
      <c r="A534" t="s">
        <v>26</v>
      </c>
      <c r="B534" t="s">
        <v>2111</v>
      </c>
      <c r="C534" t="s">
        <v>2112</v>
      </c>
      <c r="D534" t="s">
        <v>18</v>
      </c>
      <c r="E534" t="s">
        <v>19</v>
      </c>
      <c r="F534" t="s">
        <v>2113</v>
      </c>
      <c r="G534" t="s">
        <v>2114</v>
      </c>
      <c r="H534">
        <v>0</v>
      </c>
      <c r="I534">
        <v>250</v>
      </c>
      <c r="J534">
        <v>3395</v>
      </c>
      <c r="K534">
        <v>0</v>
      </c>
      <c r="L534">
        <v>0</v>
      </c>
      <c r="M534">
        <v>250</v>
      </c>
      <c r="N534">
        <v>0</v>
      </c>
      <c r="O534">
        <v>0</v>
      </c>
    </row>
    <row r="535" spans="1:15" x14ac:dyDescent="0.3">
      <c r="A535" t="s">
        <v>26</v>
      </c>
      <c r="B535" t="s">
        <v>2115</v>
      </c>
      <c r="C535" t="s">
        <v>2116</v>
      </c>
      <c r="D535" t="s">
        <v>18</v>
      </c>
      <c r="E535" t="s">
        <v>19</v>
      </c>
      <c r="F535" t="s">
        <v>2117</v>
      </c>
      <c r="G535" t="s">
        <v>2118</v>
      </c>
      <c r="H535">
        <v>872</v>
      </c>
      <c r="I535">
        <v>13886</v>
      </c>
      <c r="J535">
        <v>5414</v>
      </c>
      <c r="K535">
        <v>2623</v>
      </c>
      <c r="L535">
        <v>0</v>
      </c>
      <c r="M535">
        <v>10971</v>
      </c>
      <c r="N535">
        <v>3100</v>
      </c>
      <c r="O535">
        <v>0</v>
      </c>
    </row>
    <row r="536" spans="1:15" x14ac:dyDescent="0.3">
      <c r="A536" t="s">
        <v>26</v>
      </c>
      <c r="B536" t="s">
        <v>2119</v>
      </c>
      <c r="C536" t="s">
        <v>2120</v>
      </c>
      <c r="D536" t="s">
        <v>18</v>
      </c>
      <c r="E536" t="s">
        <v>19</v>
      </c>
      <c r="F536" t="s">
        <v>2121</v>
      </c>
      <c r="G536" t="s">
        <v>2122</v>
      </c>
      <c r="H536">
        <v>0</v>
      </c>
      <c r="I536">
        <v>250</v>
      </c>
      <c r="J536">
        <v>0</v>
      </c>
      <c r="K536">
        <v>0</v>
      </c>
      <c r="L536">
        <v>0</v>
      </c>
      <c r="M536">
        <v>250</v>
      </c>
      <c r="N536">
        <v>0</v>
      </c>
      <c r="O536">
        <v>0</v>
      </c>
    </row>
    <row r="537" spans="1:15" x14ac:dyDescent="0.3">
      <c r="A537" t="s">
        <v>26</v>
      </c>
      <c r="B537" t="s">
        <v>2123</v>
      </c>
      <c r="C537" t="s">
        <v>2124</v>
      </c>
      <c r="D537" t="s">
        <v>18</v>
      </c>
      <c r="E537" t="s">
        <v>19</v>
      </c>
      <c r="F537" t="s">
        <v>2125</v>
      </c>
      <c r="G537" t="s">
        <v>2126</v>
      </c>
      <c r="H537">
        <v>0</v>
      </c>
      <c r="I537">
        <v>250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3">
      <c r="A538" t="s">
        <v>26</v>
      </c>
      <c r="B538" t="s">
        <v>2127</v>
      </c>
      <c r="C538" t="s">
        <v>2128</v>
      </c>
      <c r="D538" t="s">
        <v>18</v>
      </c>
      <c r="E538" t="s">
        <v>19</v>
      </c>
      <c r="F538" t="s">
        <v>2129</v>
      </c>
      <c r="G538" t="s">
        <v>2130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3">
      <c r="A539" t="s">
        <v>26</v>
      </c>
      <c r="B539" t="s">
        <v>2131</v>
      </c>
      <c r="C539" t="s">
        <v>2132</v>
      </c>
      <c r="D539" t="s">
        <v>18</v>
      </c>
      <c r="E539" t="s">
        <v>19</v>
      </c>
      <c r="F539" t="s">
        <v>2133</v>
      </c>
      <c r="G539" t="s">
        <v>2134</v>
      </c>
      <c r="H539">
        <v>0</v>
      </c>
      <c r="I539">
        <v>430</v>
      </c>
      <c r="J539">
        <v>0</v>
      </c>
      <c r="K539">
        <v>0</v>
      </c>
      <c r="L539">
        <v>0</v>
      </c>
      <c r="M539">
        <v>430</v>
      </c>
      <c r="N539">
        <v>0</v>
      </c>
      <c r="O539">
        <v>0</v>
      </c>
    </row>
    <row r="540" spans="1:15" x14ac:dyDescent="0.3">
      <c r="A540" t="s">
        <v>26</v>
      </c>
      <c r="B540" t="s">
        <v>2135</v>
      </c>
      <c r="C540" t="s">
        <v>2136</v>
      </c>
      <c r="D540" t="s">
        <v>18</v>
      </c>
      <c r="E540" t="s">
        <v>19</v>
      </c>
      <c r="F540" t="s">
        <v>2137</v>
      </c>
      <c r="G540" t="s">
        <v>2138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3">
      <c r="A541" t="s">
        <v>26</v>
      </c>
      <c r="B541" t="s">
        <v>2139</v>
      </c>
      <c r="C541" t="s">
        <v>2140</v>
      </c>
      <c r="D541" t="s">
        <v>18</v>
      </c>
      <c r="E541" t="s">
        <v>19</v>
      </c>
      <c r="F541" t="s">
        <v>2141</v>
      </c>
      <c r="G541" t="s">
        <v>2142</v>
      </c>
      <c r="H541">
        <v>0</v>
      </c>
      <c r="I541">
        <v>250</v>
      </c>
      <c r="J541">
        <v>0</v>
      </c>
      <c r="K541">
        <v>0</v>
      </c>
      <c r="L541">
        <v>0</v>
      </c>
      <c r="M541">
        <v>250</v>
      </c>
      <c r="N541">
        <v>0</v>
      </c>
      <c r="O541">
        <v>0</v>
      </c>
    </row>
    <row r="542" spans="1:15" x14ac:dyDescent="0.3">
      <c r="A542" t="s">
        <v>26</v>
      </c>
      <c r="B542" t="s">
        <v>2143</v>
      </c>
      <c r="C542" t="s">
        <v>2144</v>
      </c>
      <c r="D542" t="s">
        <v>18</v>
      </c>
      <c r="E542" t="s">
        <v>19</v>
      </c>
      <c r="F542" t="s">
        <v>2145</v>
      </c>
      <c r="G542" t="s">
        <v>2146</v>
      </c>
      <c r="H542">
        <v>0</v>
      </c>
      <c r="I542">
        <v>250</v>
      </c>
      <c r="J542">
        <v>0</v>
      </c>
      <c r="K542">
        <v>0</v>
      </c>
      <c r="L542">
        <v>0</v>
      </c>
      <c r="M542">
        <v>250</v>
      </c>
      <c r="N542">
        <v>0</v>
      </c>
      <c r="O542">
        <v>0</v>
      </c>
    </row>
    <row r="543" spans="1:15" x14ac:dyDescent="0.3">
      <c r="A543" t="s">
        <v>26</v>
      </c>
      <c r="B543" t="s">
        <v>2147</v>
      </c>
      <c r="C543" t="s">
        <v>2148</v>
      </c>
      <c r="D543" t="s">
        <v>18</v>
      </c>
      <c r="E543" t="s">
        <v>19</v>
      </c>
      <c r="F543" t="s">
        <v>2149</v>
      </c>
      <c r="G543" t="s">
        <v>2150</v>
      </c>
      <c r="H543">
        <v>0</v>
      </c>
      <c r="I543">
        <v>250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3">
      <c r="A544" t="s">
        <v>26</v>
      </c>
      <c r="B544" t="s">
        <v>2151</v>
      </c>
      <c r="C544" t="s">
        <v>2152</v>
      </c>
      <c r="D544" t="s">
        <v>18</v>
      </c>
      <c r="E544" t="s">
        <v>19</v>
      </c>
      <c r="F544" t="s">
        <v>2153</v>
      </c>
      <c r="G544" t="s">
        <v>2154</v>
      </c>
      <c r="H544">
        <v>0</v>
      </c>
      <c r="I544">
        <v>250</v>
      </c>
      <c r="J544">
        <v>0</v>
      </c>
      <c r="K544">
        <v>0</v>
      </c>
      <c r="L544">
        <v>0</v>
      </c>
      <c r="M544">
        <v>250</v>
      </c>
      <c r="N544">
        <v>0</v>
      </c>
      <c r="O544">
        <v>0</v>
      </c>
    </row>
    <row r="545" spans="1:15" x14ac:dyDescent="0.3">
      <c r="A545" t="s">
        <v>26</v>
      </c>
      <c r="B545" t="s">
        <v>2155</v>
      </c>
      <c r="C545" t="s">
        <v>2156</v>
      </c>
      <c r="D545" t="s">
        <v>18</v>
      </c>
      <c r="E545" t="s">
        <v>19</v>
      </c>
      <c r="F545" t="s">
        <v>2157</v>
      </c>
      <c r="G545" t="s">
        <v>2158</v>
      </c>
      <c r="H545">
        <v>0</v>
      </c>
      <c r="I545">
        <v>2410</v>
      </c>
      <c r="J545">
        <v>0</v>
      </c>
      <c r="K545">
        <v>0</v>
      </c>
      <c r="L545">
        <v>0</v>
      </c>
      <c r="M545">
        <v>2410</v>
      </c>
      <c r="N545">
        <v>0</v>
      </c>
      <c r="O545">
        <v>0</v>
      </c>
    </row>
    <row r="546" spans="1:15" x14ac:dyDescent="0.3">
      <c r="A546" t="s">
        <v>26</v>
      </c>
      <c r="B546" t="s">
        <v>2159</v>
      </c>
      <c r="C546" t="s">
        <v>2160</v>
      </c>
      <c r="D546" t="s">
        <v>18</v>
      </c>
      <c r="E546" t="s">
        <v>19</v>
      </c>
      <c r="F546" t="s">
        <v>2161</v>
      </c>
      <c r="G546" t="s">
        <v>2162</v>
      </c>
      <c r="H546">
        <v>0</v>
      </c>
      <c r="I546">
        <v>250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3">
      <c r="A547" t="s">
        <v>26</v>
      </c>
      <c r="B547" t="s">
        <v>2163</v>
      </c>
      <c r="C547" t="s">
        <v>2164</v>
      </c>
      <c r="D547" t="s">
        <v>18</v>
      </c>
      <c r="E547" t="s">
        <v>19</v>
      </c>
      <c r="F547" t="s">
        <v>2165</v>
      </c>
      <c r="G547" t="s">
        <v>2166</v>
      </c>
      <c r="H547">
        <v>0</v>
      </c>
      <c r="I547">
        <v>250</v>
      </c>
      <c r="J547">
        <v>0</v>
      </c>
      <c r="K547">
        <v>0</v>
      </c>
      <c r="L547">
        <v>0</v>
      </c>
      <c r="M547">
        <v>250</v>
      </c>
      <c r="N547">
        <v>0</v>
      </c>
      <c r="O547">
        <v>0</v>
      </c>
    </row>
    <row r="548" spans="1:15" x14ac:dyDescent="0.3">
      <c r="A548" t="s">
        <v>26</v>
      </c>
      <c r="B548" t="s">
        <v>2167</v>
      </c>
      <c r="C548" t="s">
        <v>2168</v>
      </c>
      <c r="D548" t="s">
        <v>18</v>
      </c>
      <c r="E548" t="s">
        <v>19</v>
      </c>
      <c r="F548" t="s">
        <v>2169</v>
      </c>
      <c r="G548" t="s">
        <v>2170</v>
      </c>
      <c r="H548">
        <v>0</v>
      </c>
      <c r="I548">
        <v>250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3">
      <c r="A549" t="s">
        <v>26</v>
      </c>
      <c r="B549" t="s">
        <v>2171</v>
      </c>
      <c r="C549" t="s">
        <v>2172</v>
      </c>
      <c r="D549" t="s">
        <v>18</v>
      </c>
      <c r="E549" t="s">
        <v>19</v>
      </c>
      <c r="F549" t="s">
        <v>2173</v>
      </c>
      <c r="G549" t="s">
        <v>2062</v>
      </c>
      <c r="H549">
        <v>0</v>
      </c>
      <c r="I549">
        <v>1390</v>
      </c>
      <c r="J549">
        <v>384</v>
      </c>
      <c r="K549">
        <v>0</v>
      </c>
      <c r="L549">
        <v>0</v>
      </c>
      <c r="M549">
        <v>1390</v>
      </c>
      <c r="N549">
        <v>0</v>
      </c>
      <c r="O549">
        <v>0</v>
      </c>
    </row>
    <row r="550" spans="1:15" x14ac:dyDescent="0.3">
      <c r="A550" t="s">
        <v>26</v>
      </c>
      <c r="B550" t="s">
        <v>2174</v>
      </c>
      <c r="C550" t="s">
        <v>2175</v>
      </c>
      <c r="D550" t="s">
        <v>18</v>
      </c>
      <c r="E550" t="s">
        <v>19</v>
      </c>
      <c r="F550" t="s">
        <v>2176</v>
      </c>
      <c r="G550" t="s">
        <v>2177</v>
      </c>
      <c r="H550">
        <v>0</v>
      </c>
      <c r="I550">
        <v>250</v>
      </c>
      <c r="J550">
        <v>0</v>
      </c>
      <c r="K550">
        <v>0</v>
      </c>
      <c r="L550">
        <v>0</v>
      </c>
      <c r="M550">
        <v>250</v>
      </c>
      <c r="N550">
        <v>0</v>
      </c>
      <c r="O550">
        <v>0</v>
      </c>
    </row>
    <row r="551" spans="1:15" x14ac:dyDescent="0.3">
      <c r="A551" t="s">
        <v>26</v>
      </c>
      <c r="B551" t="s">
        <v>2178</v>
      </c>
      <c r="C551" t="s">
        <v>2179</v>
      </c>
      <c r="D551" t="s">
        <v>18</v>
      </c>
      <c r="E551" t="s">
        <v>19</v>
      </c>
      <c r="F551" t="s">
        <v>2180</v>
      </c>
      <c r="G551" t="s">
        <v>2181</v>
      </c>
      <c r="H551">
        <v>0</v>
      </c>
      <c r="I551">
        <v>250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3">
      <c r="A552" t="s">
        <v>26</v>
      </c>
      <c r="B552" t="s">
        <v>2182</v>
      </c>
      <c r="C552" t="s">
        <v>2183</v>
      </c>
      <c r="D552" t="s">
        <v>18</v>
      </c>
      <c r="E552" t="s">
        <v>19</v>
      </c>
      <c r="F552" t="s">
        <v>2184</v>
      </c>
      <c r="G552" t="s">
        <v>2185</v>
      </c>
      <c r="H552">
        <v>0</v>
      </c>
      <c r="I552">
        <v>250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3">
      <c r="A553" t="s">
        <v>26</v>
      </c>
      <c r="B553" t="s">
        <v>2186</v>
      </c>
      <c r="C553" t="s">
        <v>2187</v>
      </c>
      <c r="D553" t="s">
        <v>18</v>
      </c>
      <c r="E553" t="s">
        <v>19</v>
      </c>
      <c r="F553" t="s">
        <v>2188</v>
      </c>
      <c r="G553" t="s">
        <v>2189</v>
      </c>
      <c r="H553">
        <v>0</v>
      </c>
      <c r="I553">
        <v>250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3">
      <c r="A554" t="s">
        <v>26</v>
      </c>
      <c r="B554" t="s">
        <v>2190</v>
      </c>
      <c r="C554" t="s">
        <v>2191</v>
      </c>
      <c r="D554" t="s">
        <v>18</v>
      </c>
      <c r="E554" t="s">
        <v>19</v>
      </c>
      <c r="F554" t="s">
        <v>2192</v>
      </c>
      <c r="G554" t="s">
        <v>2193</v>
      </c>
      <c r="H554">
        <v>0</v>
      </c>
      <c r="I554">
        <v>3393</v>
      </c>
      <c r="J554">
        <v>536</v>
      </c>
      <c r="K554">
        <v>0</v>
      </c>
      <c r="L554">
        <v>0</v>
      </c>
      <c r="M554">
        <v>2753</v>
      </c>
      <c r="N554">
        <v>0</v>
      </c>
      <c r="O554">
        <v>0</v>
      </c>
    </row>
    <row r="555" spans="1:15" x14ac:dyDescent="0.3">
      <c r="A555" t="s">
        <v>26</v>
      </c>
      <c r="B555" t="s">
        <v>2194</v>
      </c>
      <c r="C555" t="s">
        <v>2195</v>
      </c>
      <c r="D555" t="s">
        <v>18</v>
      </c>
      <c r="E555" t="s">
        <v>19</v>
      </c>
      <c r="F555" t="s">
        <v>2196</v>
      </c>
      <c r="G555" t="s">
        <v>2197</v>
      </c>
      <c r="H555">
        <v>0</v>
      </c>
      <c r="I555">
        <v>250</v>
      </c>
      <c r="J555">
        <v>0</v>
      </c>
      <c r="K555">
        <v>0</v>
      </c>
      <c r="L555">
        <v>0</v>
      </c>
      <c r="M555">
        <v>250</v>
      </c>
      <c r="N555">
        <v>0</v>
      </c>
      <c r="O555">
        <v>0</v>
      </c>
    </row>
    <row r="556" spans="1:15" x14ac:dyDescent="0.3">
      <c r="A556" t="s">
        <v>26</v>
      </c>
      <c r="B556" t="s">
        <v>2198</v>
      </c>
      <c r="C556" t="s">
        <v>2199</v>
      </c>
      <c r="D556" t="s">
        <v>18</v>
      </c>
      <c r="E556" t="s">
        <v>19</v>
      </c>
      <c r="F556" t="s">
        <v>2200</v>
      </c>
      <c r="G556" t="s">
        <v>2201</v>
      </c>
      <c r="H556">
        <v>0</v>
      </c>
      <c r="I556">
        <v>250</v>
      </c>
      <c r="J556">
        <v>0</v>
      </c>
      <c r="K556">
        <v>476</v>
      </c>
      <c r="L556">
        <v>0</v>
      </c>
      <c r="M556">
        <v>250</v>
      </c>
      <c r="N556">
        <v>0</v>
      </c>
      <c r="O556">
        <v>0</v>
      </c>
    </row>
    <row r="557" spans="1:15" x14ac:dyDescent="0.3">
      <c r="A557" t="s">
        <v>26</v>
      </c>
      <c r="B557" t="s">
        <v>2202</v>
      </c>
      <c r="C557" t="s">
        <v>2203</v>
      </c>
      <c r="D557" t="s">
        <v>18</v>
      </c>
      <c r="E557" t="s">
        <v>19</v>
      </c>
      <c r="F557" t="s">
        <v>2204</v>
      </c>
      <c r="G557" t="s">
        <v>2205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3">
      <c r="A558" t="s">
        <v>26</v>
      </c>
      <c r="B558" t="s">
        <v>2206</v>
      </c>
      <c r="C558" t="s">
        <v>2207</v>
      </c>
      <c r="D558" t="s">
        <v>18</v>
      </c>
      <c r="E558" t="s">
        <v>19</v>
      </c>
      <c r="F558" t="s">
        <v>2208</v>
      </c>
      <c r="G558" t="s">
        <v>2209</v>
      </c>
      <c r="H558">
        <v>0</v>
      </c>
      <c r="I558">
        <v>250</v>
      </c>
      <c r="J558">
        <v>0</v>
      </c>
      <c r="K558">
        <v>0</v>
      </c>
      <c r="L558">
        <v>0</v>
      </c>
      <c r="M558">
        <v>250</v>
      </c>
      <c r="N558">
        <v>0</v>
      </c>
      <c r="O558">
        <v>0</v>
      </c>
    </row>
    <row r="559" spans="1:15" x14ac:dyDescent="0.3">
      <c r="A559" t="s">
        <v>26</v>
      </c>
      <c r="B559" t="s">
        <v>2210</v>
      </c>
      <c r="C559" t="s">
        <v>2211</v>
      </c>
      <c r="D559" t="s">
        <v>18</v>
      </c>
      <c r="E559" t="s">
        <v>19</v>
      </c>
      <c r="F559" t="s">
        <v>2212</v>
      </c>
      <c r="G559" t="s">
        <v>2213</v>
      </c>
      <c r="H559">
        <v>4016</v>
      </c>
      <c r="I559">
        <v>2081</v>
      </c>
      <c r="J559">
        <v>8617</v>
      </c>
      <c r="K559">
        <v>0</v>
      </c>
      <c r="L559">
        <v>0</v>
      </c>
      <c r="M559">
        <v>1340</v>
      </c>
      <c r="N559">
        <v>0</v>
      </c>
      <c r="O559">
        <v>0</v>
      </c>
    </row>
    <row r="560" spans="1:15" x14ac:dyDescent="0.3">
      <c r="A560" t="s">
        <v>26</v>
      </c>
      <c r="B560" t="s">
        <v>2214</v>
      </c>
      <c r="C560" t="s">
        <v>2215</v>
      </c>
      <c r="D560" t="s">
        <v>18</v>
      </c>
      <c r="E560" t="s">
        <v>19</v>
      </c>
      <c r="F560" t="s">
        <v>2216</v>
      </c>
      <c r="G560" t="s">
        <v>2217</v>
      </c>
      <c r="H560">
        <v>0</v>
      </c>
      <c r="I560">
        <v>250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3">
      <c r="A561" t="s">
        <v>26</v>
      </c>
      <c r="B561" t="s">
        <v>2218</v>
      </c>
      <c r="C561" t="s">
        <v>2219</v>
      </c>
      <c r="D561" t="s">
        <v>18</v>
      </c>
      <c r="E561" t="s">
        <v>19</v>
      </c>
      <c r="F561" t="s">
        <v>2220</v>
      </c>
      <c r="G561" t="s">
        <v>2221</v>
      </c>
      <c r="H561">
        <v>0</v>
      </c>
      <c r="I561">
        <v>250</v>
      </c>
      <c r="J561">
        <v>0</v>
      </c>
      <c r="K561">
        <v>0</v>
      </c>
      <c r="L561">
        <v>0</v>
      </c>
      <c r="M561">
        <v>250</v>
      </c>
      <c r="N561">
        <v>0</v>
      </c>
      <c r="O561">
        <v>0</v>
      </c>
    </row>
    <row r="562" spans="1:15" x14ac:dyDescent="0.3">
      <c r="A562" t="s">
        <v>26</v>
      </c>
      <c r="B562" t="s">
        <v>2222</v>
      </c>
      <c r="C562" t="s">
        <v>2223</v>
      </c>
      <c r="D562" t="s">
        <v>18</v>
      </c>
      <c r="E562" t="s">
        <v>19</v>
      </c>
      <c r="F562" t="s">
        <v>2224</v>
      </c>
      <c r="G562" t="s">
        <v>2225</v>
      </c>
      <c r="H562">
        <v>0</v>
      </c>
      <c r="I562">
        <v>250</v>
      </c>
      <c r="J562">
        <v>0</v>
      </c>
      <c r="K562">
        <v>0</v>
      </c>
      <c r="L562">
        <v>0</v>
      </c>
      <c r="M562">
        <v>250</v>
      </c>
      <c r="N562">
        <v>0</v>
      </c>
      <c r="O562">
        <v>0</v>
      </c>
    </row>
    <row r="563" spans="1:15" x14ac:dyDescent="0.3">
      <c r="A563" t="s">
        <v>26</v>
      </c>
      <c r="B563" t="s">
        <v>2226</v>
      </c>
      <c r="C563" t="s">
        <v>2227</v>
      </c>
      <c r="D563" t="s">
        <v>18</v>
      </c>
      <c r="E563" t="s">
        <v>19</v>
      </c>
      <c r="F563" t="s">
        <v>2228</v>
      </c>
      <c r="G563" t="s">
        <v>2229</v>
      </c>
      <c r="H563">
        <v>0</v>
      </c>
      <c r="I563">
        <v>250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3">
      <c r="A564" t="s">
        <v>26</v>
      </c>
      <c r="B564" t="s">
        <v>2230</v>
      </c>
      <c r="C564" t="s">
        <v>2231</v>
      </c>
      <c r="D564" t="s">
        <v>18</v>
      </c>
      <c r="E564" t="s">
        <v>19</v>
      </c>
      <c r="F564" t="s">
        <v>2232</v>
      </c>
      <c r="G564" t="s">
        <v>2233</v>
      </c>
      <c r="H564">
        <v>0</v>
      </c>
      <c r="I564">
        <v>250</v>
      </c>
      <c r="J564">
        <v>0</v>
      </c>
      <c r="K564">
        <v>0</v>
      </c>
      <c r="L564">
        <v>0</v>
      </c>
      <c r="M564">
        <v>250</v>
      </c>
      <c r="N564">
        <v>0</v>
      </c>
      <c r="O564">
        <v>0</v>
      </c>
    </row>
    <row r="565" spans="1:15" x14ac:dyDescent="0.3">
      <c r="A565" t="s">
        <v>26</v>
      </c>
      <c r="B565" t="s">
        <v>2234</v>
      </c>
      <c r="C565" t="s">
        <v>2235</v>
      </c>
      <c r="D565" t="s">
        <v>18</v>
      </c>
      <c r="E565" t="s">
        <v>19</v>
      </c>
      <c r="F565" t="s">
        <v>2236</v>
      </c>
      <c r="G565" t="s">
        <v>2237</v>
      </c>
      <c r="H565">
        <v>0</v>
      </c>
      <c r="I565">
        <v>250</v>
      </c>
      <c r="J565">
        <v>0</v>
      </c>
      <c r="K565">
        <v>0</v>
      </c>
      <c r="L565">
        <v>0</v>
      </c>
      <c r="M565">
        <v>250</v>
      </c>
      <c r="N565">
        <v>0</v>
      </c>
      <c r="O565">
        <v>0</v>
      </c>
    </row>
    <row r="566" spans="1:15" x14ac:dyDescent="0.3">
      <c r="A566" t="s">
        <v>26</v>
      </c>
      <c r="B566" t="s">
        <v>2238</v>
      </c>
      <c r="C566" t="s">
        <v>2239</v>
      </c>
      <c r="D566" t="s">
        <v>18</v>
      </c>
      <c r="E566" t="s">
        <v>19</v>
      </c>
      <c r="F566" t="s">
        <v>2240</v>
      </c>
      <c r="G566" t="s">
        <v>2241</v>
      </c>
      <c r="H566">
        <v>0</v>
      </c>
      <c r="I566">
        <v>250</v>
      </c>
      <c r="J566">
        <v>398</v>
      </c>
      <c r="K566">
        <v>0</v>
      </c>
      <c r="L566">
        <v>0</v>
      </c>
      <c r="M566">
        <v>250</v>
      </c>
      <c r="N566">
        <v>0</v>
      </c>
      <c r="O566">
        <v>0</v>
      </c>
    </row>
    <row r="567" spans="1:15" x14ac:dyDescent="0.3">
      <c r="A567" t="s">
        <v>26</v>
      </c>
      <c r="B567" t="s">
        <v>2242</v>
      </c>
      <c r="C567" t="s">
        <v>2243</v>
      </c>
      <c r="D567" t="s">
        <v>18</v>
      </c>
      <c r="E567" t="s">
        <v>19</v>
      </c>
      <c r="F567" t="s">
        <v>2244</v>
      </c>
      <c r="G567" t="s">
        <v>2245</v>
      </c>
      <c r="H567">
        <v>380</v>
      </c>
      <c r="I567">
        <v>700</v>
      </c>
      <c r="J567">
        <v>22046</v>
      </c>
      <c r="K567">
        <v>1294</v>
      </c>
      <c r="L567">
        <v>0</v>
      </c>
      <c r="M567">
        <v>250</v>
      </c>
      <c r="N567">
        <v>0</v>
      </c>
      <c r="O567">
        <v>0</v>
      </c>
    </row>
    <row r="568" spans="1:15" x14ac:dyDescent="0.3">
      <c r="A568" t="s">
        <v>26</v>
      </c>
      <c r="B568" t="s">
        <v>2246</v>
      </c>
      <c r="C568" t="s">
        <v>2247</v>
      </c>
      <c r="D568" t="s">
        <v>18</v>
      </c>
      <c r="E568" t="s">
        <v>19</v>
      </c>
      <c r="F568" t="s">
        <v>2248</v>
      </c>
      <c r="G568" t="s">
        <v>2249</v>
      </c>
      <c r="H568">
        <v>0</v>
      </c>
      <c r="I568">
        <v>542</v>
      </c>
      <c r="J568">
        <v>173</v>
      </c>
      <c r="K568">
        <v>2046</v>
      </c>
      <c r="L568">
        <v>0</v>
      </c>
      <c r="M568">
        <v>378</v>
      </c>
      <c r="N568">
        <v>128</v>
      </c>
      <c r="O568">
        <v>0</v>
      </c>
    </row>
    <row r="569" spans="1:15" x14ac:dyDescent="0.3">
      <c r="A569" t="s">
        <v>26</v>
      </c>
      <c r="B569" t="s">
        <v>2250</v>
      </c>
      <c r="C569" t="s">
        <v>2251</v>
      </c>
      <c r="D569" t="s">
        <v>18</v>
      </c>
      <c r="E569" t="s">
        <v>19</v>
      </c>
      <c r="F569" t="s">
        <v>2252</v>
      </c>
      <c r="G569" t="s">
        <v>2253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3">
      <c r="A570" t="s">
        <v>26</v>
      </c>
      <c r="B570" t="s">
        <v>2254</v>
      </c>
      <c r="C570" t="s">
        <v>2255</v>
      </c>
      <c r="D570" t="s">
        <v>18</v>
      </c>
      <c r="E570" t="s">
        <v>19</v>
      </c>
      <c r="F570" t="s">
        <v>2256</v>
      </c>
      <c r="G570" t="s">
        <v>2257</v>
      </c>
      <c r="H570">
        <v>1123</v>
      </c>
      <c r="I570">
        <v>3228</v>
      </c>
      <c r="J570">
        <v>6055</v>
      </c>
      <c r="K570">
        <v>0</v>
      </c>
      <c r="L570">
        <v>2200</v>
      </c>
      <c r="M570">
        <v>1942</v>
      </c>
      <c r="N570">
        <v>250</v>
      </c>
      <c r="O570">
        <v>1000</v>
      </c>
    </row>
    <row r="571" spans="1:15" x14ac:dyDescent="0.3">
      <c r="A571" t="s">
        <v>26</v>
      </c>
      <c r="B571" t="s">
        <v>2258</v>
      </c>
      <c r="C571" t="s">
        <v>2259</v>
      </c>
      <c r="D571" t="s">
        <v>18</v>
      </c>
      <c r="E571" t="s">
        <v>19</v>
      </c>
      <c r="F571" t="s">
        <v>2260</v>
      </c>
      <c r="G571" t="s">
        <v>2261</v>
      </c>
      <c r="H571">
        <v>0</v>
      </c>
      <c r="I571">
        <v>250</v>
      </c>
      <c r="J571">
        <v>0</v>
      </c>
      <c r="K571">
        <v>0</v>
      </c>
      <c r="L571">
        <v>0</v>
      </c>
      <c r="M571">
        <v>250</v>
      </c>
      <c r="N571">
        <v>0</v>
      </c>
      <c r="O571">
        <v>0</v>
      </c>
    </row>
    <row r="572" spans="1:15" x14ac:dyDescent="0.3">
      <c r="A572" t="s">
        <v>26</v>
      </c>
      <c r="B572" t="s">
        <v>2262</v>
      </c>
      <c r="C572" t="s">
        <v>2263</v>
      </c>
      <c r="D572" t="s">
        <v>18</v>
      </c>
      <c r="E572" t="s">
        <v>19</v>
      </c>
      <c r="F572" t="s">
        <v>2264</v>
      </c>
      <c r="G572" t="s">
        <v>2265</v>
      </c>
      <c r="H572">
        <v>0</v>
      </c>
      <c r="I572">
        <v>2907</v>
      </c>
      <c r="J572">
        <v>19082</v>
      </c>
      <c r="K572">
        <v>0</v>
      </c>
      <c r="L572">
        <v>0</v>
      </c>
      <c r="M572">
        <v>1109</v>
      </c>
      <c r="N572">
        <v>0</v>
      </c>
      <c r="O572">
        <v>1200</v>
      </c>
    </row>
    <row r="573" spans="1:15" x14ac:dyDescent="0.3">
      <c r="A573" t="s">
        <v>26</v>
      </c>
      <c r="B573" t="s">
        <v>2266</v>
      </c>
      <c r="C573" t="s">
        <v>2267</v>
      </c>
      <c r="D573" t="s">
        <v>18</v>
      </c>
      <c r="E573" t="s">
        <v>19</v>
      </c>
      <c r="F573" t="s">
        <v>2268</v>
      </c>
      <c r="G573" t="s">
        <v>2269</v>
      </c>
      <c r="H573">
        <v>0</v>
      </c>
      <c r="I573">
        <v>250</v>
      </c>
      <c r="J573">
        <v>0</v>
      </c>
      <c r="K573">
        <v>0</v>
      </c>
      <c r="L573">
        <v>0</v>
      </c>
      <c r="M573">
        <v>250</v>
      </c>
      <c r="N573">
        <v>0</v>
      </c>
      <c r="O573">
        <v>0</v>
      </c>
    </row>
    <row r="574" spans="1:15" x14ac:dyDescent="0.3">
      <c r="A574" t="s">
        <v>26</v>
      </c>
      <c r="B574" t="s">
        <v>2270</v>
      </c>
      <c r="C574" t="s">
        <v>2271</v>
      </c>
      <c r="D574" t="s">
        <v>18</v>
      </c>
      <c r="E574" t="s">
        <v>19</v>
      </c>
      <c r="F574" t="s">
        <v>2272</v>
      </c>
      <c r="G574" t="s">
        <v>2273</v>
      </c>
      <c r="H574">
        <v>0</v>
      </c>
      <c r="I574">
        <v>335</v>
      </c>
      <c r="J574">
        <v>122</v>
      </c>
      <c r="K574">
        <v>0</v>
      </c>
      <c r="L574">
        <v>0</v>
      </c>
      <c r="M574">
        <v>250</v>
      </c>
      <c r="N574">
        <v>0</v>
      </c>
      <c r="O574">
        <v>0</v>
      </c>
    </row>
    <row r="575" spans="1:15" x14ac:dyDescent="0.3">
      <c r="A575" t="s">
        <v>26</v>
      </c>
      <c r="B575" t="s">
        <v>2274</v>
      </c>
      <c r="C575" t="s">
        <v>2275</v>
      </c>
      <c r="D575" t="s">
        <v>18</v>
      </c>
      <c r="E575" t="s">
        <v>19</v>
      </c>
      <c r="F575" t="s">
        <v>2276</v>
      </c>
      <c r="G575" t="s">
        <v>2277</v>
      </c>
      <c r="H575">
        <v>0</v>
      </c>
      <c r="I575">
        <v>250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3">
      <c r="A576" t="s">
        <v>26</v>
      </c>
      <c r="B576" t="s">
        <v>2278</v>
      </c>
      <c r="C576" t="s">
        <v>2279</v>
      </c>
      <c r="D576" t="s">
        <v>18</v>
      </c>
      <c r="E576" t="s">
        <v>19</v>
      </c>
      <c r="F576" t="s">
        <v>2280</v>
      </c>
      <c r="G576" t="s">
        <v>2281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3">
      <c r="A577" t="s">
        <v>15</v>
      </c>
      <c r="B577" t="s">
        <v>2282</v>
      </c>
      <c r="C577" t="s">
        <v>2283</v>
      </c>
      <c r="D577" t="s">
        <v>2284</v>
      </c>
      <c r="E577" t="s">
        <v>2285</v>
      </c>
      <c r="F577" t="s">
        <v>2286</v>
      </c>
      <c r="G577" t="s">
        <v>2287</v>
      </c>
      <c r="H577">
        <v>0</v>
      </c>
      <c r="I577">
        <v>250</v>
      </c>
      <c r="J577">
        <v>11409</v>
      </c>
      <c r="K577">
        <v>0</v>
      </c>
      <c r="L577">
        <v>0</v>
      </c>
      <c r="M577">
        <v>250</v>
      </c>
      <c r="N577">
        <v>0</v>
      </c>
      <c r="O577">
        <v>0</v>
      </c>
    </row>
    <row r="578" spans="1:15" x14ac:dyDescent="0.3">
      <c r="A578" t="s">
        <v>2288</v>
      </c>
      <c r="B578">
        <v>360001</v>
      </c>
      <c r="C578" t="s">
        <v>2289</v>
      </c>
      <c r="D578" t="s">
        <v>2284</v>
      </c>
      <c r="E578" t="s">
        <v>2285</v>
      </c>
      <c r="F578" t="s">
        <v>2290</v>
      </c>
      <c r="G578" t="s">
        <v>2291</v>
      </c>
      <c r="H578">
        <v>0</v>
      </c>
      <c r="I578">
        <v>250</v>
      </c>
      <c r="J578">
        <v>0</v>
      </c>
      <c r="K578">
        <v>0</v>
      </c>
      <c r="L578">
        <v>0</v>
      </c>
      <c r="M578">
        <v>250</v>
      </c>
      <c r="N578">
        <v>0</v>
      </c>
      <c r="O578">
        <v>0</v>
      </c>
    </row>
    <row r="579" spans="1:15" x14ac:dyDescent="0.3">
      <c r="A579" t="s">
        <v>2288</v>
      </c>
      <c r="B579" t="s">
        <v>2292</v>
      </c>
      <c r="C579" t="s">
        <v>2293</v>
      </c>
      <c r="D579" t="s">
        <v>2284</v>
      </c>
      <c r="E579" t="s">
        <v>2285</v>
      </c>
      <c r="F579" t="s">
        <v>2294</v>
      </c>
      <c r="G579" t="s">
        <v>2295</v>
      </c>
      <c r="H579">
        <v>380</v>
      </c>
      <c r="I579">
        <v>638</v>
      </c>
      <c r="J579">
        <v>6262</v>
      </c>
      <c r="K579">
        <v>1974</v>
      </c>
      <c r="L579">
        <v>500</v>
      </c>
      <c r="M579">
        <v>638</v>
      </c>
      <c r="N579">
        <v>0</v>
      </c>
      <c r="O579">
        <v>0</v>
      </c>
    </row>
    <row r="580" spans="1:15" x14ac:dyDescent="0.3">
      <c r="A580" t="s">
        <v>2288</v>
      </c>
      <c r="B580" t="s">
        <v>2296</v>
      </c>
      <c r="C580" t="s">
        <v>2297</v>
      </c>
      <c r="D580" t="s">
        <v>2284</v>
      </c>
      <c r="E580" t="s">
        <v>2285</v>
      </c>
      <c r="F580" t="s">
        <v>2298</v>
      </c>
      <c r="G580" t="s">
        <v>2299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3">
      <c r="A581" t="s">
        <v>2288</v>
      </c>
      <c r="B581" t="s">
        <v>2300</v>
      </c>
      <c r="C581" t="s">
        <v>2301</v>
      </c>
      <c r="D581" t="s">
        <v>2284</v>
      </c>
      <c r="E581" t="s">
        <v>2285</v>
      </c>
      <c r="F581" t="s">
        <v>2302</v>
      </c>
      <c r="G581" t="s">
        <v>2303</v>
      </c>
      <c r="H581">
        <v>0</v>
      </c>
      <c r="I581">
        <v>250</v>
      </c>
      <c r="J581">
        <v>0</v>
      </c>
      <c r="K581">
        <v>0</v>
      </c>
      <c r="L581">
        <v>0</v>
      </c>
      <c r="M581">
        <v>250</v>
      </c>
      <c r="N581">
        <v>0</v>
      </c>
      <c r="O581">
        <v>0</v>
      </c>
    </row>
    <row r="582" spans="1:15" x14ac:dyDescent="0.3">
      <c r="A582" t="s">
        <v>2288</v>
      </c>
      <c r="B582" t="s">
        <v>2304</v>
      </c>
      <c r="C582" t="s">
        <v>2305</v>
      </c>
      <c r="D582" t="s">
        <v>2284</v>
      </c>
      <c r="E582" t="s">
        <v>2285</v>
      </c>
      <c r="F582" t="s">
        <v>2306</v>
      </c>
      <c r="G582" t="s">
        <v>2307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3">
      <c r="A583" t="s">
        <v>2288</v>
      </c>
      <c r="B583" t="s">
        <v>2308</v>
      </c>
      <c r="C583" t="s">
        <v>2309</v>
      </c>
      <c r="D583" t="s">
        <v>2284</v>
      </c>
      <c r="E583" t="s">
        <v>2285</v>
      </c>
      <c r="F583" t="s">
        <v>2310</v>
      </c>
      <c r="G583" t="s">
        <v>2311</v>
      </c>
      <c r="H583">
        <v>0</v>
      </c>
      <c r="I583">
        <v>3186</v>
      </c>
      <c r="J583">
        <v>0</v>
      </c>
      <c r="K583">
        <v>0</v>
      </c>
      <c r="L583">
        <v>0</v>
      </c>
      <c r="M583">
        <v>1550</v>
      </c>
      <c r="N583">
        <v>0</v>
      </c>
      <c r="O583">
        <v>0</v>
      </c>
    </row>
    <row r="584" spans="1:15" x14ac:dyDescent="0.3">
      <c r="A584" t="s">
        <v>2288</v>
      </c>
      <c r="B584" t="s">
        <v>2312</v>
      </c>
      <c r="C584" t="s">
        <v>2313</v>
      </c>
      <c r="D584" t="s">
        <v>2284</v>
      </c>
      <c r="E584" t="s">
        <v>2285</v>
      </c>
      <c r="F584" t="s">
        <v>2314</v>
      </c>
      <c r="G584" t="s">
        <v>2315</v>
      </c>
      <c r="H584">
        <v>0</v>
      </c>
      <c r="I584">
        <v>250</v>
      </c>
      <c r="J584">
        <v>0</v>
      </c>
      <c r="K584">
        <v>0</v>
      </c>
      <c r="L584">
        <v>0</v>
      </c>
      <c r="M584">
        <v>250</v>
      </c>
      <c r="N584">
        <v>0</v>
      </c>
      <c r="O584">
        <v>0</v>
      </c>
    </row>
    <row r="585" spans="1:15" x14ac:dyDescent="0.3">
      <c r="A585" t="s">
        <v>2288</v>
      </c>
      <c r="B585" t="s">
        <v>2316</v>
      </c>
      <c r="C585" t="s">
        <v>2317</v>
      </c>
      <c r="D585" t="s">
        <v>2284</v>
      </c>
      <c r="E585" t="s">
        <v>2285</v>
      </c>
      <c r="F585" t="s">
        <v>2318</v>
      </c>
      <c r="G585" t="s">
        <v>2319</v>
      </c>
      <c r="H585">
        <v>0</v>
      </c>
      <c r="I585">
        <v>250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3">
      <c r="A586" t="s">
        <v>2288</v>
      </c>
      <c r="B586" t="s">
        <v>2320</v>
      </c>
      <c r="C586" t="s">
        <v>2321</v>
      </c>
      <c r="D586" t="s">
        <v>2284</v>
      </c>
      <c r="E586" t="s">
        <v>2285</v>
      </c>
      <c r="F586" t="s">
        <v>2322</v>
      </c>
      <c r="G586" t="s">
        <v>2323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3">
      <c r="A587" t="s">
        <v>2288</v>
      </c>
      <c r="B587" t="s">
        <v>2324</v>
      </c>
      <c r="C587" t="s">
        <v>2325</v>
      </c>
      <c r="D587" t="s">
        <v>2284</v>
      </c>
      <c r="E587" t="s">
        <v>2285</v>
      </c>
      <c r="F587" t="s">
        <v>2326</v>
      </c>
      <c r="G587">
        <f>255714007778 / 255682706190</f>
        <v>1.0001224235634332</v>
      </c>
      <c r="H587">
        <v>0</v>
      </c>
      <c r="I587">
        <v>250</v>
      </c>
      <c r="J587">
        <v>0</v>
      </c>
      <c r="K587">
        <v>0</v>
      </c>
      <c r="L587">
        <v>0</v>
      </c>
      <c r="M587">
        <v>250</v>
      </c>
      <c r="N587">
        <v>0</v>
      </c>
      <c r="O587">
        <v>0</v>
      </c>
    </row>
    <row r="588" spans="1:15" x14ac:dyDescent="0.3">
      <c r="A588" t="s">
        <v>2288</v>
      </c>
      <c r="B588" t="s">
        <v>2327</v>
      </c>
      <c r="C588" t="s">
        <v>2328</v>
      </c>
      <c r="D588" t="s">
        <v>2284</v>
      </c>
      <c r="E588" t="s">
        <v>2285</v>
      </c>
      <c r="F588" t="s">
        <v>2329</v>
      </c>
      <c r="G588" t="s">
        <v>2330</v>
      </c>
      <c r="H588">
        <v>0</v>
      </c>
      <c r="I588">
        <v>250</v>
      </c>
      <c r="J588">
        <v>0</v>
      </c>
      <c r="K588">
        <v>0</v>
      </c>
      <c r="L588">
        <v>0</v>
      </c>
      <c r="M588">
        <v>250</v>
      </c>
      <c r="N588">
        <v>0</v>
      </c>
      <c r="O588">
        <v>0</v>
      </c>
    </row>
    <row r="589" spans="1:15" x14ac:dyDescent="0.3">
      <c r="A589" t="s">
        <v>2288</v>
      </c>
      <c r="B589" t="s">
        <v>2331</v>
      </c>
      <c r="C589" t="s">
        <v>2332</v>
      </c>
      <c r="D589" t="s">
        <v>2284</v>
      </c>
      <c r="E589" t="s">
        <v>2285</v>
      </c>
      <c r="F589" t="s">
        <v>2333</v>
      </c>
      <c r="G589" t="s">
        <v>2334</v>
      </c>
      <c r="H589">
        <v>0</v>
      </c>
      <c r="I589">
        <v>250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3">
      <c r="A590" t="s">
        <v>2288</v>
      </c>
      <c r="B590" t="s">
        <v>2335</v>
      </c>
      <c r="C590" t="s">
        <v>2336</v>
      </c>
      <c r="D590" t="s">
        <v>2284</v>
      </c>
      <c r="E590" t="s">
        <v>2285</v>
      </c>
      <c r="F590" t="s">
        <v>2337</v>
      </c>
      <c r="G590" t="s">
        <v>2338</v>
      </c>
      <c r="H590">
        <v>0</v>
      </c>
      <c r="I590">
        <v>250</v>
      </c>
      <c r="J590">
        <v>0</v>
      </c>
      <c r="K590">
        <v>0</v>
      </c>
      <c r="L590">
        <v>0</v>
      </c>
      <c r="M590">
        <v>250</v>
      </c>
      <c r="N590">
        <v>0</v>
      </c>
      <c r="O590">
        <v>0</v>
      </c>
    </row>
    <row r="591" spans="1:15" x14ac:dyDescent="0.3">
      <c r="A591" t="s">
        <v>2288</v>
      </c>
      <c r="B591" t="s">
        <v>2339</v>
      </c>
      <c r="C591" t="s">
        <v>2340</v>
      </c>
      <c r="D591" t="s">
        <v>2284</v>
      </c>
      <c r="E591" t="s">
        <v>2285</v>
      </c>
      <c r="F591" t="s">
        <v>2341</v>
      </c>
      <c r="G591" t="s">
        <v>2342</v>
      </c>
      <c r="H591">
        <v>0</v>
      </c>
      <c r="I591">
        <v>250</v>
      </c>
      <c r="J591">
        <v>0</v>
      </c>
      <c r="K591">
        <v>0</v>
      </c>
      <c r="L591">
        <v>0</v>
      </c>
      <c r="M591">
        <v>250</v>
      </c>
      <c r="N591">
        <v>0</v>
      </c>
      <c r="O591">
        <v>0</v>
      </c>
    </row>
    <row r="592" spans="1:15" x14ac:dyDescent="0.3">
      <c r="A592" t="s">
        <v>2288</v>
      </c>
      <c r="B592" t="s">
        <v>2343</v>
      </c>
      <c r="C592" t="s">
        <v>2344</v>
      </c>
      <c r="D592" t="s">
        <v>2284</v>
      </c>
      <c r="E592" t="s">
        <v>2285</v>
      </c>
      <c r="F592" t="s">
        <v>2345</v>
      </c>
      <c r="G592" t="s">
        <v>2346</v>
      </c>
      <c r="H592">
        <v>1344</v>
      </c>
      <c r="I592">
        <v>5228</v>
      </c>
      <c r="J592">
        <v>15761</v>
      </c>
      <c r="K592">
        <v>0</v>
      </c>
      <c r="L592">
        <v>4100</v>
      </c>
      <c r="M592">
        <v>2028</v>
      </c>
      <c r="N592">
        <v>0</v>
      </c>
      <c r="O592">
        <v>3200</v>
      </c>
    </row>
    <row r="593" spans="1:15" x14ac:dyDescent="0.3">
      <c r="A593" t="s">
        <v>2288</v>
      </c>
      <c r="B593" t="s">
        <v>2347</v>
      </c>
      <c r="C593" t="s">
        <v>2348</v>
      </c>
      <c r="D593" t="s">
        <v>2284</v>
      </c>
      <c r="E593" t="s">
        <v>2285</v>
      </c>
      <c r="F593" t="s">
        <v>2349</v>
      </c>
      <c r="G593" t="s">
        <v>2350</v>
      </c>
      <c r="H593">
        <v>0</v>
      </c>
      <c r="I593">
        <v>250</v>
      </c>
      <c r="J593">
        <v>0</v>
      </c>
      <c r="K593">
        <v>0</v>
      </c>
      <c r="L593">
        <v>0</v>
      </c>
      <c r="M593">
        <v>250</v>
      </c>
      <c r="N593">
        <v>0</v>
      </c>
      <c r="O593">
        <v>0</v>
      </c>
    </row>
    <row r="594" spans="1:15" x14ac:dyDescent="0.3">
      <c r="A594" t="s">
        <v>2288</v>
      </c>
      <c r="B594" t="s">
        <v>2351</v>
      </c>
      <c r="C594" t="s">
        <v>2352</v>
      </c>
      <c r="D594" t="s">
        <v>2284</v>
      </c>
      <c r="E594" t="s">
        <v>2285</v>
      </c>
      <c r="F594" t="s">
        <v>2353</v>
      </c>
      <c r="G594" t="s">
        <v>2354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3">
      <c r="A595" t="s">
        <v>2288</v>
      </c>
      <c r="B595" t="s">
        <v>2355</v>
      </c>
      <c r="C595" t="s">
        <v>2356</v>
      </c>
      <c r="D595" t="s">
        <v>2284</v>
      </c>
      <c r="E595" t="s">
        <v>2285</v>
      </c>
      <c r="F595" t="s">
        <v>2357</v>
      </c>
      <c r="G595" t="s">
        <v>2358</v>
      </c>
      <c r="H595">
        <v>0</v>
      </c>
      <c r="I595">
        <v>1020</v>
      </c>
      <c r="J595">
        <v>1567</v>
      </c>
      <c r="K595">
        <v>1180</v>
      </c>
      <c r="L595">
        <v>0</v>
      </c>
      <c r="M595">
        <v>1020</v>
      </c>
      <c r="N595">
        <v>770</v>
      </c>
      <c r="O595">
        <v>0</v>
      </c>
    </row>
    <row r="596" spans="1:15" x14ac:dyDescent="0.3">
      <c r="A596" t="s">
        <v>2288</v>
      </c>
      <c r="B596" t="s">
        <v>2359</v>
      </c>
      <c r="C596" t="s">
        <v>2360</v>
      </c>
      <c r="D596" t="s">
        <v>2284</v>
      </c>
      <c r="E596" t="s">
        <v>2285</v>
      </c>
      <c r="F596" t="s">
        <v>2361</v>
      </c>
      <c r="G596" t="s">
        <v>2362</v>
      </c>
      <c r="H596">
        <v>0</v>
      </c>
      <c r="I596">
        <v>250</v>
      </c>
      <c r="J596">
        <v>2420</v>
      </c>
      <c r="K596">
        <v>268</v>
      </c>
      <c r="L596">
        <v>0</v>
      </c>
      <c r="M596">
        <v>250</v>
      </c>
      <c r="N596">
        <v>0</v>
      </c>
      <c r="O596">
        <v>0</v>
      </c>
    </row>
    <row r="597" spans="1:15" x14ac:dyDescent="0.3">
      <c r="A597" t="s">
        <v>2288</v>
      </c>
      <c r="B597" t="s">
        <v>2363</v>
      </c>
      <c r="C597" t="s">
        <v>2364</v>
      </c>
      <c r="D597" t="s">
        <v>2284</v>
      </c>
      <c r="E597" t="s">
        <v>2285</v>
      </c>
      <c r="F597" t="s">
        <v>2365</v>
      </c>
      <c r="G597">
        <f>255715516502 / 255715516502</f>
        <v>1</v>
      </c>
      <c r="H597">
        <v>0</v>
      </c>
      <c r="I597">
        <v>2446</v>
      </c>
      <c r="J597">
        <v>923</v>
      </c>
      <c r="K597">
        <v>0</v>
      </c>
      <c r="L597">
        <v>0</v>
      </c>
      <c r="M597">
        <v>2214</v>
      </c>
      <c r="N597">
        <v>0</v>
      </c>
      <c r="O597">
        <v>0</v>
      </c>
    </row>
    <row r="598" spans="1:15" x14ac:dyDescent="0.3">
      <c r="A598" t="s">
        <v>2288</v>
      </c>
      <c r="B598" t="s">
        <v>2366</v>
      </c>
      <c r="C598" t="s">
        <v>2367</v>
      </c>
      <c r="D598" t="s">
        <v>2284</v>
      </c>
      <c r="E598" t="s">
        <v>2285</v>
      </c>
      <c r="F598" t="s">
        <v>2368</v>
      </c>
      <c r="G598" t="s">
        <v>2369</v>
      </c>
      <c r="H598">
        <v>0</v>
      </c>
      <c r="I598">
        <v>250</v>
      </c>
      <c r="J598">
        <v>0</v>
      </c>
      <c r="K598">
        <v>0</v>
      </c>
      <c r="L598">
        <v>0</v>
      </c>
      <c r="M598">
        <v>250</v>
      </c>
      <c r="N598">
        <v>0</v>
      </c>
      <c r="O598">
        <v>0</v>
      </c>
    </row>
    <row r="599" spans="1:15" x14ac:dyDescent="0.3">
      <c r="A599" t="s">
        <v>2288</v>
      </c>
      <c r="B599" t="s">
        <v>2370</v>
      </c>
      <c r="C599" t="s">
        <v>2371</v>
      </c>
      <c r="D599" t="s">
        <v>2284</v>
      </c>
      <c r="E599" t="s">
        <v>2285</v>
      </c>
      <c r="F599" t="s">
        <v>2372</v>
      </c>
      <c r="G599" t="s">
        <v>2373</v>
      </c>
      <c r="H599">
        <v>0</v>
      </c>
      <c r="I599">
        <v>1730</v>
      </c>
      <c r="J599">
        <v>0</v>
      </c>
      <c r="K599">
        <v>0</v>
      </c>
      <c r="L599">
        <v>0</v>
      </c>
      <c r="M599">
        <v>250</v>
      </c>
      <c r="N599">
        <v>0</v>
      </c>
      <c r="O599">
        <v>0</v>
      </c>
    </row>
    <row r="600" spans="1:15" x14ac:dyDescent="0.3">
      <c r="A600" t="s">
        <v>2288</v>
      </c>
      <c r="B600" t="s">
        <v>2374</v>
      </c>
      <c r="C600" t="s">
        <v>2375</v>
      </c>
      <c r="D600" t="s">
        <v>2284</v>
      </c>
      <c r="E600" t="s">
        <v>2285</v>
      </c>
      <c r="F600" t="s">
        <v>2376</v>
      </c>
      <c r="G600" t="s">
        <v>2377</v>
      </c>
      <c r="H600">
        <v>0</v>
      </c>
      <c r="I600">
        <v>250</v>
      </c>
      <c r="J600">
        <v>0</v>
      </c>
      <c r="K600">
        <v>0</v>
      </c>
      <c r="L600">
        <v>0</v>
      </c>
      <c r="M600">
        <v>250</v>
      </c>
      <c r="N600">
        <v>0</v>
      </c>
      <c r="O600">
        <v>0</v>
      </c>
    </row>
    <row r="601" spans="1:15" x14ac:dyDescent="0.3">
      <c r="A601" t="s">
        <v>2288</v>
      </c>
      <c r="B601" t="s">
        <v>2378</v>
      </c>
      <c r="C601" t="s">
        <v>2379</v>
      </c>
      <c r="D601" t="s">
        <v>2284</v>
      </c>
      <c r="E601" t="s">
        <v>2285</v>
      </c>
      <c r="F601" t="s">
        <v>2380</v>
      </c>
      <c r="G601" t="s">
        <v>2381</v>
      </c>
      <c r="H601">
        <v>0</v>
      </c>
      <c r="I601">
        <v>250</v>
      </c>
      <c r="J601">
        <v>0</v>
      </c>
      <c r="K601">
        <v>0</v>
      </c>
      <c r="L601">
        <v>0</v>
      </c>
      <c r="M601">
        <v>250</v>
      </c>
      <c r="N601">
        <v>0</v>
      </c>
      <c r="O601">
        <v>0</v>
      </c>
    </row>
    <row r="602" spans="1:15" x14ac:dyDescent="0.3">
      <c r="A602" t="s">
        <v>2288</v>
      </c>
      <c r="B602" t="s">
        <v>2382</v>
      </c>
      <c r="C602" t="s">
        <v>2383</v>
      </c>
      <c r="D602" t="s">
        <v>2284</v>
      </c>
      <c r="E602" t="s">
        <v>2285</v>
      </c>
      <c r="F602" t="s">
        <v>2384</v>
      </c>
      <c r="G602" t="s">
        <v>2385</v>
      </c>
      <c r="H602">
        <v>0</v>
      </c>
      <c r="I602">
        <v>3406</v>
      </c>
      <c r="J602">
        <v>0</v>
      </c>
      <c r="K602">
        <v>1003</v>
      </c>
      <c r="L602">
        <v>1200</v>
      </c>
      <c r="M602">
        <v>62</v>
      </c>
      <c r="N602">
        <v>0</v>
      </c>
      <c r="O602">
        <v>0</v>
      </c>
    </row>
    <row r="603" spans="1:15" x14ac:dyDescent="0.3">
      <c r="A603" t="s">
        <v>2288</v>
      </c>
      <c r="B603" t="s">
        <v>2386</v>
      </c>
      <c r="C603" t="s">
        <v>2387</v>
      </c>
      <c r="D603" t="s">
        <v>2284</v>
      </c>
      <c r="E603" t="s">
        <v>2285</v>
      </c>
      <c r="F603" t="s">
        <v>2388</v>
      </c>
      <c r="G603" t="s">
        <v>2389</v>
      </c>
      <c r="H603">
        <v>0</v>
      </c>
      <c r="I603">
        <v>250</v>
      </c>
      <c r="J603">
        <v>0</v>
      </c>
      <c r="K603">
        <v>0</v>
      </c>
      <c r="L603">
        <v>0</v>
      </c>
      <c r="M603">
        <v>250</v>
      </c>
      <c r="N603">
        <v>0</v>
      </c>
      <c r="O603">
        <v>0</v>
      </c>
    </row>
    <row r="604" spans="1:15" x14ac:dyDescent="0.3">
      <c r="A604" t="s">
        <v>2288</v>
      </c>
      <c r="B604" t="s">
        <v>2390</v>
      </c>
      <c r="C604" t="s">
        <v>2391</v>
      </c>
      <c r="D604" t="s">
        <v>2284</v>
      </c>
      <c r="E604" t="s">
        <v>2285</v>
      </c>
      <c r="F604" t="s">
        <v>2392</v>
      </c>
      <c r="G604" t="s">
        <v>2393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3">
      <c r="A605" t="s">
        <v>2288</v>
      </c>
      <c r="B605" t="s">
        <v>2394</v>
      </c>
      <c r="C605" t="s">
        <v>2395</v>
      </c>
      <c r="D605" t="s">
        <v>2284</v>
      </c>
      <c r="E605" t="s">
        <v>2285</v>
      </c>
      <c r="F605" t="s">
        <v>2396</v>
      </c>
      <c r="G605">
        <f>255222775092 / 755167301</f>
        <v>337.96852002732572</v>
      </c>
      <c r="H605">
        <v>0</v>
      </c>
      <c r="I605">
        <v>250</v>
      </c>
      <c r="J605">
        <v>330</v>
      </c>
      <c r="K605">
        <v>0</v>
      </c>
      <c r="L605">
        <v>0</v>
      </c>
      <c r="M605">
        <v>250</v>
      </c>
      <c r="N605">
        <v>0</v>
      </c>
      <c r="O605">
        <v>0</v>
      </c>
    </row>
    <row r="606" spans="1:15" x14ac:dyDescent="0.3">
      <c r="A606" t="s">
        <v>2288</v>
      </c>
      <c r="B606" t="s">
        <v>2397</v>
      </c>
      <c r="C606" t="s">
        <v>2398</v>
      </c>
      <c r="D606" t="s">
        <v>2284</v>
      </c>
      <c r="E606" t="s">
        <v>2285</v>
      </c>
      <c r="F606" t="s">
        <v>2399</v>
      </c>
      <c r="G606" t="s">
        <v>2400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3">
      <c r="A607" t="s">
        <v>2288</v>
      </c>
      <c r="B607" t="s">
        <v>2401</v>
      </c>
      <c r="C607" t="s">
        <v>2402</v>
      </c>
      <c r="D607" t="s">
        <v>2284</v>
      </c>
      <c r="E607" t="s">
        <v>2285</v>
      </c>
      <c r="F607" t="s">
        <v>2403</v>
      </c>
      <c r="G607">
        <f>255713191287 / 255713191387</f>
        <v>0.99999999960893693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3">
      <c r="A608" t="s">
        <v>2288</v>
      </c>
      <c r="B608" t="s">
        <v>2404</v>
      </c>
      <c r="C608" t="s">
        <v>2405</v>
      </c>
      <c r="D608" t="s">
        <v>2284</v>
      </c>
      <c r="E608" t="s">
        <v>2285</v>
      </c>
      <c r="F608" t="s">
        <v>2406</v>
      </c>
      <c r="G608" t="s">
        <v>2407</v>
      </c>
      <c r="H608">
        <v>0</v>
      </c>
      <c r="I608">
        <v>250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3">
      <c r="A609" t="s">
        <v>2288</v>
      </c>
      <c r="B609" t="s">
        <v>2408</v>
      </c>
      <c r="C609" t="s">
        <v>2409</v>
      </c>
      <c r="D609" t="s">
        <v>2284</v>
      </c>
      <c r="E609" t="s">
        <v>2285</v>
      </c>
      <c r="F609" t="s">
        <v>2410</v>
      </c>
      <c r="G609">
        <f>255683427922 / 255652613670</f>
        <v>1.000120531730764</v>
      </c>
      <c r="H609">
        <v>0</v>
      </c>
      <c r="I609">
        <v>250</v>
      </c>
      <c r="J609">
        <v>0</v>
      </c>
      <c r="K609">
        <v>0</v>
      </c>
      <c r="L609">
        <v>0</v>
      </c>
      <c r="M609">
        <v>250</v>
      </c>
      <c r="N609">
        <v>0</v>
      </c>
      <c r="O609">
        <v>0</v>
      </c>
    </row>
    <row r="610" spans="1:15" x14ac:dyDescent="0.3">
      <c r="A610" t="s">
        <v>2288</v>
      </c>
      <c r="B610" t="s">
        <v>2411</v>
      </c>
      <c r="C610" t="s">
        <v>2412</v>
      </c>
      <c r="D610" t="s">
        <v>2284</v>
      </c>
      <c r="E610" t="s">
        <v>2285</v>
      </c>
      <c r="F610" t="s">
        <v>2413</v>
      </c>
      <c r="G610" t="s">
        <v>2414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3">
      <c r="A611" t="s">
        <v>2288</v>
      </c>
      <c r="B611" t="s">
        <v>2415</v>
      </c>
      <c r="C611" t="s">
        <v>2416</v>
      </c>
      <c r="D611" t="s">
        <v>2284</v>
      </c>
      <c r="E611" t="s">
        <v>2285</v>
      </c>
      <c r="F611" t="s">
        <v>2417</v>
      </c>
      <c r="G611" t="s">
        <v>2418</v>
      </c>
      <c r="H611">
        <v>0</v>
      </c>
      <c r="I611">
        <v>2065</v>
      </c>
      <c r="J611">
        <v>0</v>
      </c>
      <c r="K611">
        <v>384</v>
      </c>
      <c r="L611">
        <v>0</v>
      </c>
      <c r="M611">
        <v>1086</v>
      </c>
      <c r="N611">
        <v>412</v>
      </c>
      <c r="O611">
        <v>0</v>
      </c>
    </row>
    <row r="612" spans="1:15" x14ac:dyDescent="0.3">
      <c r="A612" t="s">
        <v>2288</v>
      </c>
      <c r="B612" t="s">
        <v>2419</v>
      </c>
      <c r="C612" t="s">
        <v>2420</v>
      </c>
      <c r="D612" t="s">
        <v>2284</v>
      </c>
      <c r="E612" t="s">
        <v>2285</v>
      </c>
      <c r="F612" t="s">
        <v>2421</v>
      </c>
      <c r="G612" t="s">
        <v>2422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3">
      <c r="A613" t="s">
        <v>2288</v>
      </c>
      <c r="B613" t="s">
        <v>2423</v>
      </c>
      <c r="C613" t="s">
        <v>2424</v>
      </c>
      <c r="D613" t="s">
        <v>2284</v>
      </c>
      <c r="E613" t="s">
        <v>2285</v>
      </c>
      <c r="F613" t="s">
        <v>2425</v>
      </c>
      <c r="G613" t="s">
        <v>2426</v>
      </c>
      <c r="H613">
        <v>0</v>
      </c>
      <c r="I613">
        <v>250</v>
      </c>
      <c r="J613">
        <v>0</v>
      </c>
      <c r="K613">
        <v>0</v>
      </c>
      <c r="L613">
        <v>0</v>
      </c>
      <c r="M613">
        <v>250</v>
      </c>
      <c r="N613">
        <v>0</v>
      </c>
      <c r="O613">
        <v>0</v>
      </c>
    </row>
    <row r="614" spans="1:15" x14ac:dyDescent="0.3">
      <c r="A614" t="s">
        <v>2288</v>
      </c>
      <c r="B614" t="s">
        <v>2427</v>
      </c>
      <c r="C614" t="s">
        <v>2428</v>
      </c>
      <c r="D614" t="s">
        <v>2284</v>
      </c>
      <c r="E614" t="s">
        <v>2285</v>
      </c>
      <c r="F614" t="s">
        <v>2429</v>
      </c>
      <c r="G614" t="s">
        <v>2430</v>
      </c>
      <c r="H614">
        <v>0</v>
      </c>
      <c r="I614">
        <v>250</v>
      </c>
      <c r="J614">
        <v>0</v>
      </c>
      <c r="K614">
        <v>0</v>
      </c>
      <c r="L614">
        <v>0</v>
      </c>
      <c r="M614">
        <v>250</v>
      </c>
      <c r="N614">
        <v>0</v>
      </c>
      <c r="O614">
        <v>0</v>
      </c>
    </row>
    <row r="615" spans="1:15" x14ac:dyDescent="0.3">
      <c r="A615" t="s">
        <v>2288</v>
      </c>
      <c r="B615" t="s">
        <v>2431</v>
      </c>
      <c r="C615" t="s">
        <v>2432</v>
      </c>
      <c r="D615" t="s">
        <v>2284</v>
      </c>
      <c r="E615" t="s">
        <v>2285</v>
      </c>
      <c r="F615" t="s">
        <v>2433</v>
      </c>
      <c r="G615" t="s">
        <v>2434</v>
      </c>
      <c r="H615">
        <v>2020</v>
      </c>
      <c r="I615">
        <v>3945</v>
      </c>
      <c r="J615">
        <v>16207</v>
      </c>
      <c r="K615">
        <v>0</v>
      </c>
      <c r="L615">
        <v>0</v>
      </c>
      <c r="M615">
        <v>3945</v>
      </c>
      <c r="N615">
        <v>0</v>
      </c>
      <c r="O615">
        <v>0</v>
      </c>
    </row>
    <row r="616" spans="1:15" x14ac:dyDescent="0.3">
      <c r="A616" t="s">
        <v>2288</v>
      </c>
      <c r="B616" t="s">
        <v>2435</v>
      </c>
      <c r="C616" t="s">
        <v>2436</v>
      </c>
      <c r="D616" t="s">
        <v>2284</v>
      </c>
      <c r="E616" t="s">
        <v>2285</v>
      </c>
      <c r="F616" t="s">
        <v>2437</v>
      </c>
      <c r="G616">
        <f>255713260620 / 255785260620</f>
        <v>0.99971851388220934</v>
      </c>
      <c r="H616">
        <v>0</v>
      </c>
      <c r="I616">
        <v>250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3">
      <c r="A617" t="s">
        <v>2288</v>
      </c>
      <c r="B617" t="s">
        <v>2438</v>
      </c>
      <c r="C617" t="s">
        <v>2439</v>
      </c>
      <c r="D617" t="s">
        <v>2284</v>
      </c>
      <c r="E617" t="s">
        <v>2285</v>
      </c>
      <c r="F617" t="s">
        <v>2440</v>
      </c>
      <c r="G617" t="s">
        <v>2441</v>
      </c>
      <c r="H617">
        <v>0</v>
      </c>
      <c r="I617">
        <v>250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3">
      <c r="A618" t="s">
        <v>2288</v>
      </c>
      <c r="B618" t="s">
        <v>2442</v>
      </c>
      <c r="C618" t="s">
        <v>2443</v>
      </c>
      <c r="D618" t="s">
        <v>2284</v>
      </c>
      <c r="E618" t="s">
        <v>2285</v>
      </c>
      <c r="F618" t="s">
        <v>2444</v>
      </c>
      <c r="G618" t="s">
        <v>2445</v>
      </c>
      <c r="H618">
        <v>0</v>
      </c>
      <c r="I618">
        <v>250</v>
      </c>
      <c r="J618">
        <v>0</v>
      </c>
      <c r="K618">
        <v>0</v>
      </c>
      <c r="L618">
        <v>0</v>
      </c>
      <c r="M618">
        <v>250</v>
      </c>
      <c r="N618">
        <v>0</v>
      </c>
      <c r="O618">
        <v>0</v>
      </c>
    </row>
    <row r="619" spans="1:15" x14ac:dyDescent="0.3">
      <c r="A619" t="s">
        <v>2288</v>
      </c>
      <c r="B619" t="s">
        <v>2446</v>
      </c>
      <c r="C619" t="s">
        <v>2447</v>
      </c>
      <c r="D619" t="s">
        <v>2284</v>
      </c>
      <c r="E619" t="s">
        <v>2285</v>
      </c>
      <c r="F619" t="s">
        <v>2448</v>
      </c>
      <c r="G619" t="s">
        <v>2449</v>
      </c>
      <c r="H619">
        <v>0</v>
      </c>
      <c r="I619">
        <v>3444</v>
      </c>
      <c r="J619">
        <v>559</v>
      </c>
      <c r="K619">
        <v>0</v>
      </c>
      <c r="L619">
        <v>6500</v>
      </c>
      <c r="M619">
        <v>3254</v>
      </c>
      <c r="N619">
        <v>0</v>
      </c>
      <c r="O619">
        <v>0</v>
      </c>
    </row>
    <row r="620" spans="1:15" x14ac:dyDescent="0.3">
      <c r="A620" t="s">
        <v>2288</v>
      </c>
      <c r="B620" t="s">
        <v>2450</v>
      </c>
      <c r="C620" t="s">
        <v>2451</v>
      </c>
      <c r="D620" t="s">
        <v>2284</v>
      </c>
      <c r="E620" t="s">
        <v>2285</v>
      </c>
      <c r="F620" t="s">
        <v>2452</v>
      </c>
      <c r="G620" t="s">
        <v>2453</v>
      </c>
      <c r="H620">
        <v>0</v>
      </c>
      <c r="I620">
        <v>250</v>
      </c>
      <c r="J620">
        <v>0</v>
      </c>
      <c r="K620">
        <v>0</v>
      </c>
      <c r="L620">
        <v>0</v>
      </c>
      <c r="M620">
        <v>250</v>
      </c>
      <c r="N620">
        <v>0</v>
      </c>
      <c r="O620">
        <v>0</v>
      </c>
    </row>
    <row r="621" spans="1:15" x14ac:dyDescent="0.3">
      <c r="A621" t="s">
        <v>2288</v>
      </c>
      <c r="B621" t="s">
        <v>2454</v>
      </c>
      <c r="C621" t="s">
        <v>2455</v>
      </c>
      <c r="D621" t="s">
        <v>2284</v>
      </c>
      <c r="E621" t="s">
        <v>2285</v>
      </c>
      <c r="F621" t="s">
        <v>2456</v>
      </c>
      <c r="G621" t="s">
        <v>2457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3">
      <c r="A622" t="s">
        <v>2288</v>
      </c>
      <c r="B622" t="s">
        <v>2458</v>
      </c>
      <c r="C622" t="s">
        <v>2459</v>
      </c>
      <c r="D622" t="s">
        <v>2284</v>
      </c>
      <c r="E622" t="s">
        <v>2285</v>
      </c>
      <c r="F622" t="s">
        <v>2460</v>
      </c>
      <c r="G622" t="s">
        <v>2461</v>
      </c>
      <c r="H622">
        <v>0</v>
      </c>
      <c r="I622">
        <v>250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3">
      <c r="A623" t="s">
        <v>2288</v>
      </c>
      <c r="B623" t="s">
        <v>2462</v>
      </c>
      <c r="C623" t="s">
        <v>2463</v>
      </c>
      <c r="D623" t="s">
        <v>2284</v>
      </c>
      <c r="E623" t="s">
        <v>2285</v>
      </c>
      <c r="F623" t="s">
        <v>2464</v>
      </c>
      <c r="G623" t="s">
        <v>2465</v>
      </c>
      <c r="H623">
        <v>0</v>
      </c>
      <c r="I623">
        <v>250</v>
      </c>
      <c r="J623">
        <v>18067</v>
      </c>
      <c r="K623">
        <v>0</v>
      </c>
      <c r="L623">
        <v>0</v>
      </c>
      <c r="M623">
        <v>250</v>
      </c>
      <c r="N623">
        <v>0</v>
      </c>
      <c r="O623">
        <v>0</v>
      </c>
    </row>
    <row r="624" spans="1:15" x14ac:dyDescent="0.3">
      <c r="A624" t="s">
        <v>2288</v>
      </c>
      <c r="B624" t="s">
        <v>2466</v>
      </c>
      <c r="C624" t="s">
        <v>2467</v>
      </c>
      <c r="D624" t="s">
        <v>2284</v>
      </c>
      <c r="E624" t="s">
        <v>2285</v>
      </c>
      <c r="F624" t="s">
        <v>2468</v>
      </c>
      <c r="G624" t="s">
        <v>2469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3">
      <c r="A625" t="s">
        <v>2288</v>
      </c>
      <c r="B625" t="s">
        <v>2470</v>
      </c>
      <c r="C625" t="s">
        <v>2471</v>
      </c>
      <c r="D625" t="s">
        <v>2284</v>
      </c>
      <c r="E625" t="s">
        <v>2285</v>
      </c>
      <c r="F625" t="s">
        <v>2472</v>
      </c>
      <c r="G625" t="s">
        <v>2473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3">
      <c r="A626" t="s">
        <v>2288</v>
      </c>
      <c r="B626" t="s">
        <v>2474</v>
      </c>
      <c r="C626" t="s">
        <v>2475</v>
      </c>
      <c r="D626" t="s">
        <v>2284</v>
      </c>
      <c r="E626" t="s">
        <v>2285</v>
      </c>
      <c r="F626" t="s">
        <v>2476</v>
      </c>
      <c r="G626" t="s">
        <v>2477</v>
      </c>
      <c r="H626">
        <v>0</v>
      </c>
      <c r="I626">
        <v>250</v>
      </c>
      <c r="J626">
        <v>5732</v>
      </c>
      <c r="K626">
        <v>0</v>
      </c>
      <c r="L626">
        <v>0</v>
      </c>
      <c r="M626">
        <v>250</v>
      </c>
      <c r="N626">
        <v>0</v>
      </c>
      <c r="O626">
        <v>0</v>
      </c>
    </row>
    <row r="627" spans="1:15" x14ac:dyDescent="0.3">
      <c r="A627" t="s">
        <v>2288</v>
      </c>
      <c r="B627" t="s">
        <v>2478</v>
      </c>
      <c r="C627" t="s">
        <v>2479</v>
      </c>
      <c r="D627" t="s">
        <v>2284</v>
      </c>
      <c r="E627" t="s">
        <v>2285</v>
      </c>
      <c r="F627" t="s">
        <v>2480</v>
      </c>
      <c r="G627" t="s">
        <v>2481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3">
      <c r="A628" t="s">
        <v>2288</v>
      </c>
      <c r="B628" t="s">
        <v>2482</v>
      </c>
      <c r="C628" t="s">
        <v>2483</v>
      </c>
      <c r="D628" t="s">
        <v>2284</v>
      </c>
      <c r="E628" t="s">
        <v>2285</v>
      </c>
      <c r="F628" t="s">
        <v>2484</v>
      </c>
      <c r="G628" t="s">
        <v>2485</v>
      </c>
      <c r="H628">
        <v>0</v>
      </c>
      <c r="I628">
        <v>250</v>
      </c>
      <c r="J628">
        <v>0</v>
      </c>
      <c r="K628">
        <v>1112</v>
      </c>
      <c r="L628">
        <v>0</v>
      </c>
      <c r="M628">
        <v>250</v>
      </c>
      <c r="N628">
        <v>0</v>
      </c>
      <c r="O628">
        <v>0</v>
      </c>
    </row>
    <row r="629" spans="1:15" x14ac:dyDescent="0.3">
      <c r="A629" t="s">
        <v>2288</v>
      </c>
      <c r="B629" t="s">
        <v>2486</v>
      </c>
      <c r="C629" t="s">
        <v>2487</v>
      </c>
      <c r="D629" t="s">
        <v>2284</v>
      </c>
      <c r="E629" t="s">
        <v>2285</v>
      </c>
      <c r="F629" t="s">
        <v>2488</v>
      </c>
      <c r="G629" t="s">
        <v>2489</v>
      </c>
      <c r="H629">
        <v>0</v>
      </c>
      <c r="I629">
        <v>250</v>
      </c>
      <c r="J629">
        <v>5397</v>
      </c>
      <c r="K629">
        <v>1940</v>
      </c>
      <c r="L629">
        <v>0</v>
      </c>
      <c r="M629">
        <v>250</v>
      </c>
      <c r="N629">
        <v>0</v>
      </c>
      <c r="O629">
        <v>0</v>
      </c>
    </row>
    <row r="630" spans="1:15" x14ac:dyDescent="0.3">
      <c r="A630" t="s">
        <v>2288</v>
      </c>
      <c r="B630" t="s">
        <v>2490</v>
      </c>
      <c r="C630" t="s">
        <v>2491</v>
      </c>
      <c r="D630" t="s">
        <v>2284</v>
      </c>
      <c r="E630" t="s">
        <v>2285</v>
      </c>
      <c r="F630" t="s">
        <v>2492</v>
      </c>
      <c r="G630" t="s">
        <v>2493</v>
      </c>
      <c r="H630">
        <v>0</v>
      </c>
      <c r="I630">
        <v>250</v>
      </c>
      <c r="J630">
        <v>0</v>
      </c>
      <c r="K630">
        <v>0</v>
      </c>
      <c r="L630">
        <v>0</v>
      </c>
      <c r="M630">
        <v>250</v>
      </c>
      <c r="N630">
        <v>0</v>
      </c>
      <c r="O630">
        <v>0</v>
      </c>
    </row>
    <row r="631" spans="1:15" x14ac:dyDescent="0.3">
      <c r="A631" t="s">
        <v>2288</v>
      </c>
      <c r="B631" t="s">
        <v>2494</v>
      </c>
      <c r="C631" t="s">
        <v>2495</v>
      </c>
      <c r="D631" t="s">
        <v>2284</v>
      </c>
      <c r="E631" t="s">
        <v>2285</v>
      </c>
      <c r="F631" t="s">
        <v>2496</v>
      </c>
      <c r="G631" t="s">
        <v>2497</v>
      </c>
      <c r="H631">
        <v>0</v>
      </c>
      <c r="I631">
        <v>250</v>
      </c>
      <c r="J631">
        <v>0</v>
      </c>
      <c r="K631">
        <v>0</v>
      </c>
      <c r="L631">
        <v>0</v>
      </c>
      <c r="M631">
        <v>250</v>
      </c>
      <c r="N631">
        <v>0</v>
      </c>
      <c r="O631">
        <v>0</v>
      </c>
    </row>
    <row r="632" spans="1:15" x14ac:dyDescent="0.3">
      <c r="A632" t="s">
        <v>2288</v>
      </c>
      <c r="B632" t="s">
        <v>2498</v>
      </c>
      <c r="C632" t="s">
        <v>2499</v>
      </c>
      <c r="D632" t="s">
        <v>2284</v>
      </c>
      <c r="E632" t="s">
        <v>2285</v>
      </c>
      <c r="F632" t="s">
        <v>2500</v>
      </c>
      <c r="G632" t="s">
        <v>2501</v>
      </c>
      <c r="H632">
        <v>0</v>
      </c>
      <c r="I632">
        <v>1846</v>
      </c>
      <c r="J632">
        <v>0</v>
      </c>
      <c r="K632">
        <v>0</v>
      </c>
      <c r="L632">
        <v>0</v>
      </c>
      <c r="M632">
        <v>1846</v>
      </c>
      <c r="N632">
        <v>0</v>
      </c>
      <c r="O632">
        <v>0</v>
      </c>
    </row>
    <row r="633" spans="1:15" x14ac:dyDescent="0.3">
      <c r="A633" t="s">
        <v>2288</v>
      </c>
      <c r="B633" t="s">
        <v>2502</v>
      </c>
      <c r="C633" t="s">
        <v>2503</v>
      </c>
      <c r="D633" t="s">
        <v>2284</v>
      </c>
      <c r="E633" t="s">
        <v>2285</v>
      </c>
      <c r="F633" t="s">
        <v>2504</v>
      </c>
      <c r="G633" t="s">
        <v>2505</v>
      </c>
      <c r="H633">
        <v>3001</v>
      </c>
      <c r="I633">
        <v>1514</v>
      </c>
      <c r="J633">
        <v>62119</v>
      </c>
      <c r="K633">
        <v>270</v>
      </c>
      <c r="L633">
        <v>21350</v>
      </c>
      <c r="M633">
        <v>1358</v>
      </c>
      <c r="N633">
        <v>0</v>
      </c>
      <c r="O633">
        <v>0</v>
      </c>
    </row>
    <row r="634" spans="1:15" x14ac:dyDescent="0.3">
      <c r="A634" t="s">
        <v>2288</v>
      </c>
      <c r="B634" t="s">
        <v>2506</v>
      </c>
      <c r="C634" t="s">
        <v>2507</v>
      </c>
      <c r="D634" t="s">
        <v>2284</v>
      </c>
      <c r="E634" t="s">
        <v>2285</v>
      </c>
      <c r="F634" t="s">
        <v>2508</v>
      </c>
      <c r="G634" t="s">
        <v>2509</v>
      </c>
      <c r="H634">
        <v>0</v>
      </c>
      <c r="I634">
        <v>2490</v>
      </c>
      <c r="J634">
        <v>25419</v>
      </c>
      <c r="K634">
        <v>0</v>
      </c>
      <c r="L634">
        <v>0</v>
      </c>
      <c r="M634">
        <v>250</v>
      </c>
      <c r="N634">
        <v>0</v>
      </c>
      <c r="O634">
        <v>0</v>
      </c>
    </row>
    <row r="635" spans="1:15" x14ac:dyDescent="0.3">
      <c r="A635" t="s">
        <v>2288</v>
      </c>
      <c r="B635" t="s">
        <v>2510</v>
      </c>
      <c r="C635" t="s">
        <v>2511</v>
      </c>
      <c r="D635" t="s">
        <v>2284</v>
      </c>
      <c r="E635" t="s">
        <v>2285</v>
      </c>
      <c r="F635" t="s">
        <v>2512</v>
      </c>
      <c r="G635" t="s">
        <v>2513</v>
      </c>
      <c r="H635">
        <v>820</v>
      </c>
      <c r="I635">
        <v>1889</v>
      </c>
      <c r="J635">
        <v>15892</v>
      </c>
      <c r="K635">
        <v>1100</v>
      </c>
      <c r="L635">
        <v>1200</v>
      </c>
      <c r="M635">
        <v>1311</v>
      </c>
      <c r="N635">
        <v>0</v>
      </c>
      <c r="O635">
        <v>0</v>
      </c>
    </row>
    <row r="636" spans="1:15" x14ac:dyDescent="0.3">
      <c r="A636" t="s">
        <v>2288</v>
      </c>
      <c r="B636" t="s">
        <v>2514</v>
      </c>
      <c r="C636" t="s">
        <v>2515</v>
      </c>
      <c r="D636" t="s">
        <v>2284</v>
      </c>
      <c r="E636" t="s">
        <v>2285</v>
      </c>
      <c r="F636" t="s">
        <v>2516</v>
      </c>
      <c r="G636" t="s">
        <v>2517</v>
      </c>
      <c r="H636">
        <v>2300</v>
      </c>
      <c r="I636">
        <v>1633</v>
      </c>
      <c r="J636">
        <v>11485</v>
      </c>
      <c r="K636">
        <v>1080</v>
      </c>
      <c r="L636">
        <v>0</v>
      </c>
      <c r="M636">
        <v>250</v>
      </c>
      <c r="N636">
        <v>0</v>
      </c>
      <c r="O636">
        <v>0</v>
      </c>
    </row>
    <row r="637" spans="1:15" x14ac:dyDescent="0.3">
      <c r="A637" t="s">
        <v>2288</v>
      </c>
      <c r="B637" t="s">
        <v>2518</v>
      </c>
      <c r="C637" t="s">
        <v>2519</v>
      </c>
      <c r="D637" t="s">
        <v>2284</v>
      </c>
      <c r="E637" t="s">
        <v>2285</v>
      </c>
      <c r="F637" t="s">
        <v>2520</v>
      </c>
      <c r="G637" t="s">
        <v>2521</v>
      </c>
      <c r="H637">
        <v>16255</v>
      </c>
      <c r="I637">
        <v>250</v>
      </c>
      <c r="J637">
        <v>375372</v>
      </c>
      <c r="K637">
        <v>0</v>
      </c>
      <c r="L637">
        <v>0</v>
      </c>
      <c r="M637">
        <v>250</v>
      </c>
      <c r="N637">
        <v>0</v>
      </c>
      <c r="O637">
        <v>0</v>
      </c>
    </row>
    <row r="638" spans="1:15" x14ac:dyDescent="0.3">
      <c r="A638" t="s">
        <v>2288</v>
      </c>
      <c r="B638" t="s">
        <v>2522</v>
      </c>
      <c r="C638" t="s">
        <v>2523</v>
      </c>
      <c r="D638" t="s">
        <v>2284</v>
      </c>
      <c r="E638" t="s">
        <v>2285</v>
      </c>
      <c r="F638" t="s">
        <v>2524</v>
      </c>
      <c r="G638" t="s">
        <v>2525</v>
      </c>
      <c r="H638">
        <v>7502</v>
      </c>
      <c r="I638">
        <v>9720</v>
      </c>
      <c r="J638">
        <v>20236</v>
      </c>
      <c r="K638">
        <v>0</v>
      </c>
      <c r="L638">
        <v>0</v>
      </c>
      <c r="M638">
        <v>4534</v>
      </c>
      <c r="N638">
        <v>0</v>
      </c>
      <c r="O638">
        <v>0</v>
      </c>
    </row>
    <row r="639" spans="1:15" x14ac:dyDescent="0.3">
      <c r="A639" t="s">
        <v>2288</v>
      </c>
      <c r="B639" t="s">
        <v>2526</v>
      </c>
      <c r="C639" t="s">
        <v>2527</v>
      </c>
      <c r="D639" t="s">
        <v>2284</v>
      </c>
      <c r="E639" t="s">
        <v>2285</v>
      </c>
      <c r="F639" t="s">
        <v>2528</v>
      </c>
      <c r="G639" t="s">
        <v>2529</v>
      </c>
      <c r="H639">
        <v>498</v>
      </c>
      <c r="I639">
        <v>250</v>
      </c>
      <c r="J639">
        <v>886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3">
      <c r="A640" t="s">
        <v>2288</v>
      </c>
      <c r="B640" t="s">
        <v>2530</v>
      </c>
      <c r="C640" t="s">
        <v>2531</v>
      </c>
      <c r="D640" t="s">
        <v>2284</v>
      </c>
      <c r="E640" t="s">
        <v>2285</v>
      </c>
      <c r="F640" t="s">
        <v>2532</v>
      </c>
      <c r="G640" t="s">
        <v>2533</v>
      </c>
      <c r="H640">
        <v>0</v>
      </c>
      <c r="I640">
        <v>250</v>
      </c>
      <c r="J640">
        <v>0</v>
      </c>
      <c r="K640">
        <v>0</v>
      </c>
      <c r="L640">
        <v>0</v>
      </c>
      <c r="M640">
        <v>250</v>
      </c>
      <c r="N640">
        <v>0</v>
      </c>
      <c r="O640">
        <v>0</v>
      </c>
    </row>
    <row r="641" spans="1:15" x14ac:dyDescent="0.3">
      <c r="A641" t="s">
        <v>2288</v>
      </c>
      <c r="B641" t="s">
        <v>2534</v>
      </c>
      <c r="C641" t="s">
        <v>2535</v>
      </c>
      <c r="D641" t="s">
        <v>2284</v>
      </c>
      <c r="E641" t="s">
        <v>2285</v>
      </c>
      <c r="F641" t="s">
        <v>2536</v>
      </c>
      <c r="G641" t="s">
        <v>2537</v>
      </c>
      <c r="H641">
        <v>0</v>
      </c>
      <c r="I641">
        <v>993</v>
      </c>
      <c r="J641">
        <v>3866</v>
      </c>
      <c r="K641">
        <v>0</v>
      </c>
      <c r="L641">
        <v>0</v>
      </c>
      <c r="M641">
        <v>993</v>
      </c>
      <c r="N641">
        <v>743</v>
      </c>
      <c r="O641">
        <v>0</v>
      </c>
    </row>
    <row r="642" spans="1:15" x14ac:dyDescent="0.3">
      <c r="A642" t="s">
        <v>2288</v>
      </c>
      <c r="B642" t="s">
        <v>2538</v>
      </c>
      <c r="C642" t="s">
        <v>2539</v>
      </c>
      <c r="D642" t="s">
        <v>2284</v>
      </c>
      <c r="E642" t="s">
        <v>2285</v>
      </c>
      <c r="F642" t="s">
        <v>2540</v>
      </c>
      <c r="G642">
        <f>255789910071 / 255717910071</f>
        <v>1.0002815602551265</v>
      </c>
      <c r="H642">
        <v>0</v>
      </c>
      <c r="I642">
        <v>7160</v>
      </c>
      <c r="J642">
        <v>36450</v>
      </c>
      <c r="K642">
        <v>0</v>
      </c>
      <c r="L642">
        <v>10750</v>
      </c>
      <c r="M642">
        <v>6698</v>
      </c>
      <c r="N642">
        <v>0</v>
      </c>
      <c r="O642">
        <v>0</v>
      </c>
    </row>
    <row r="643" spans="1:15" x14ac:dyDescent="0.3">
      <c r="A643" t="s">
        <v>2288</v>
      </c>
      <c r="B643" t="s">
        <v>2541</v>
      </c>
      <c r="C643" t="s">
        <v>2542</v>
      </c>
      <c r="D643" t="s">
        <v>2284</v>
      </c>
      <c r="E643" t="s">
        <v>2285</v>
      </c>
      <c r="F643" t="s">
        <v>2543</v>
      </c>
      <c r="G643" t="s">
        <v>2544</v>
      </c>
      <c r="H643">
        <v>0</v>
      </c>
      <c r="I643">
        <v>686</v>
      </c>
      <c r="J643">
        <v>0</v>
      </c>
      <c r="K643">
        <v>1460</v>
      </c>
      <c r="L643">
        <v>0</v>
      </c>
      <c r="M643">
        <v>250</v>
      </c>
      <c r="N643">
        <v>0</v>
      </c>
      <c r="O643">
        <v>0</v>
      </c>
    </row>
    <row r="644" spans="1:15" x14ac:dyDescent="0.3">
      <c r="A644" t="s">
        <v>2288</v>
      </c>
      <c r="B644" t="s">
        <v>2545</v>
      </c>
      <c r="C644" t="s">
        <v>2546</v>
      </c>
      <c r="D644" t="s">
        <v>2284</v>
      </c>
      <c r="E644" t="s">
        <v>2285</v>
      </c>
      <c r="F644" t="s">
        <v>2547</v>
      </c>
      <c r="G644" t="s">
        <v>2548</v>
      </c>
      <c r="H644">
        <v>0</v>
      </c>
      <c r="I644">
        <v>3126</v>
      </c>
      <c r="J644">
        <v>7571</v>
      </c>
      <c r="K644">
        <v>0</v>
      </c>
      <c r="L644">
        <v>0</v>
      </c>
      <c r="M644">
        <v>3126</v>
      </c>
      <c r="N644">
        <v>0</v>
      </c>
      <c r="O644">
        <v>0</v>
      </c>
    </row>
    <row r="645" spans="1:15" x14ac:dyDescent="0.3">
      <c r="A645" t="s">
        <v>2288</v>
      </c>
      <c r="B645" t="s">
        <v>2549</v>
      </c>
      <c r="C645" t="s">
        <v>2550</v>
      </c>
      <c r="D645" t="s">
        <v>2284</v>
      </c>
      <c r="E645" t="s">
        <v>2285</v>
      </c>
      <c r="F645" t="s">
        <v>2551</v>
      </c>
      <c r="G645" t="s">
        <v>2552</v>
      </c>
      <c r="H645">
        <v>0</v>
      </c>
      <c r="I645">
        <v>250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3">
      <c r="A646" t="s">
        <v>2288</v>
      </c>
      <c r="B646" t="s">
        <v>2553</v>
      </c>
      <c r="C646" t="s">
        <v>2554</v>
      </c>
      <c r="D646" t="s">
        <v>2284</v>
      </c>
      <c r="E646" t="s">
        <v>2285</v>
      </c>
      <c r="F646" t="s">
        <v>2555</v>
      </c>
      <c r="G646" t="s">
        <v>2556</v>
      </c>
      <c r="H646">
        <v>0</v>
      </c>
      <c r="I646">
        <v>250</v>
      </c>
      <c r="J646">
        <v>0</v>
      </c>
      <c r="K646">
        <v>0</v>
      </c>
      <c r="L646">
        <v>0</v>
      </c>
      <c r="M646">
        <v>250</v>
      </c>
      <c r="N646">
        <v>0</v>
      </c>
      <c r="O646">
        <v>0</v>
      </c>
    </row>
    <row r="647" spans="1:15" x14ac:dyDescent="0.3">
      <c r="A647" t="s">
        <v>2288</v>
      </c>
      <c r="B647" t="s">
        <v>2557</v>
      </c>
      <c r="C647" t="s">
        <v>2558</v>
      </c>
      <c r="D647" t="s">
        <v>2284</v>
      </c>
      <c r="E647" t="s">
        <v>2285</v>
      </c>
      <c r="F647" t="s">
        <v>2559</v>
      </c>
      <c r="G647" t="s">
        <v>2560</v>
      </c>
      <c r="H647">
        <v>1867</v>
      </c>
      <c r="I647">
        <v>5212</v>
      </c>
      <c r="J647">
        <v>1092</v>
      </c>
      <c r="K647">
        <v>0</v>
      </c>
      <c r="L647">
        <v>13650</v>
      </c>
      <c r="M647">
        <v>3283</v>
      </c>
      <c r="N647">
        <v>0</v>
      </c>
      <c r="O647">
        <v>0</v>
      </c>
    </row>
    <row r="648" spans="1:15" x14ac:dyDescent="0.3">
      <c r="A648" t="s">
        <v>2288</v>
      </c>
      <c r="B648" t="s">
        <v>2561</v>
      </c>
      <c r="C648" t="s">
        <v>2562</v>
      </c>
      <c r="D648" t="s">
        <v>2284</v>
      </c>
      <c r="E648" t="s">
        <v>2285</v>
      </c>
      <c r="F648" t="s">
        <v>2563</v>
      </c>
      <c r="G648" t="s">
        <v>2564</v>
      </c>
      <c r="H648">
        <v>0</v>
      </c>
      <c r="I648">
        <v>27395</v>
      </c>
      <c r="J648">
        <v>35109</v>
      </c>
      <c r="K648">
        <v>0</v>
      </c>
      <c r="L648">
        <v>1000</v>
      </c>
      <c r="M648">
        <v>25217</v>
      </c>
      <c r="N648">
        <v>0</v>
      </c>
      <c r="O648">
        <v>0</v>
      </c>
    </row>
    <row r="649" spans="1:15" x14ac:dyDescent="0.3">
      <c r="A649" t="s">
        <v>2288</v>
      </c>
      <c r="B649" t="s">
        <v>2565</v>
      </c>
      <c r="C649" t="s">
        <v>2566</v>
      </c>
      <c r="D649" t="s">
        <v>2284</v>
      </c>
      <c r="E649" t="s">
        <v>2285</v>
      </c>
      <c r="F649" t="s">
        <v>2567</v>
      </c>
      <c r="G649" t="s">
        <v>2568</v>
      </c>
      <c r="H649">
        <v>0</v>
      </c>
      <c r="I649">
        <v>250</v>
      </c>
      <c r="J649">
        <v>0</v>
      </c>
      <c r="K649">
        <v>0</v>
      </c>
      <c r="L649">
        <v>0</v>
      </c>
      <c r="M649">
        <v>250</v>
      </c>
      <c r="N649">
        <v>0</v>
      </c>
      <c r="O649">
        <v>0</v>
      </c>
    </row>
    <row r="650" spans="1:15" x14ac:dyDescent="0.3">
      <c r="A650" t="s">
        <v>2288</v>
      </c>
      <c r="B650" t="s">
        <v>2569</v>
      </c>
      <c r="C650" t="s">
        <v>2570</v>
      </c>
      <c r="D650" t="s">
        <v>2284</v>
      </c>
      <c r="E650" t="s">
        <v>2285</v>
      </c>
      <c r="F650" t="s">
        <v>2571</v>
      </c>
      <c r="G650" t="s">
        <v>2572</v>
      </c>
      <c r="H650">
        <v>0</v>
      </c>
      <c r="I650">
        <v>250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3">
      <c r="A651" t="s">
        <v>2288</v>
      </c>
      <c r="B651" t="s">
        <v>2573</v>
      </c>
      <c r="C651" t="s">
        <v>2574</v>
      </c>
      <c r="D651" t="s">
        <v>2284</v>
      </c>
      <c r="E651" t="s">
        <v>2285</v>
      </c>
      <c r="F651" t="s">
        <v>2575</v>
      </c>
      <c r="G651" t="s">
        <v>2576</v>
      </c>
      <c r="H651">
        <v>0</v>
      </c>
      <c r="I651">
        <v>250</v>
      </c>
      <c r="J651">
        <v>0</v>
      </c>
      <c r="K651">
        <v>0</v>
      </c>
      <c r="L651">
        <v>0</v>
      </c>
      <c r="M651">
        <v>250</v>
      </c>
      <c r="N651">
        <v>0</v>
      </c>
      <c r="O651">
        <v>0</v>
      </c>
    </row>
    <row r="652" spans="1:15" x14ac:dyDescent="0.3">
      <c r="A652" t="s">
        <v>2288</v>
      </c>
      <c r="B652" t="s">
        <v>2577</v>
      </c>
      <c r="C652" t="s">
        <v>2578</v>
      </c>
      <c r="D652" t="s">
        <v>2284</v>
      </c>
      <c r="E652" t="s">
        <v>2285</v>
      </c>
      <c r="F652" t="s">
        <v>2579</v>
      </c>
      <c r="G652" t="s">
        <v>2580</v>
      </c>
      <c r="H652">
        <v>0</v>
      </c>
      <c r="I652">
        <v>250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3">
      <c r="A653" t="s">
        <v>2288</v>
      </c>
      <c r="B653" t="s">
        <v>2581</v>
      </c>
      <c r="C653" t="s">
        <v>2582</v>
      </c>
      <c r="D653" t="s">
        <v>2284</v>
      </c>
      <c r="E653" t="s">
        <v>2285</v>
      </c>
      <c r="F653" t="s">
        <v>2583</v>
      </c>
      <c r="G653" t="s">
        <v>2584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3">
      <c r="A654" t="s">
        <v>2288</v>
      </c>
      <c r="B654" t="s">
        <v>2585</v>
      </c>
      <c r="C654" t="s">
        <v>2586</v>
      </c>
      <c r="D654" t="s">
        <v>2284</v>
      </c>
      <c r="E654" t="s">
        <v>2285</v>
      </c>
      <c r="F654" t="s">
        <v>2587</v>
      </c>
      <c r="G654" t="s">
        <v>2588</v>
      </c>
      <c r="H654">
        <v>0</v>
      </c>
      <c r="I654">
        <v>250</v>
      </c>
      <c r="J654">
        <v>0</v>
      </c>
      <c r="K654">
        <v>0</v>
      </c>
      <c r="L654">
        <v>0</v>
      </c>
      <c r="M654">
        <v>250</v>
      </c>
      <c r="N654">
        <v>0</v>
      </c>
      <c r="O654">
        <v>0</v>
      </c>
    </row>
    <row r="655" spans="1:15" x14ac:dyDescent="0.3">
      <c r="A655" t="s">
        <v>2288</v>
      </c>
      <c r="B655" t="s">
        <v>2589</v>
      </c>
      <c r="C655" t="s">
        <v>2590</v>
      </c>
      <c r="D655" t="s">
        <v>2284</v>
      </c>
      <c r="E655" t="s">
        <v>2285</v>
      </c>
      <c r="F655" t="s">
        <v>2591</v>
      </c>
      <c r="G655" t="s">
        <v>2592</v>
      </c>
      <c r="H655">
        <v>0</v>
      </c>
      <c r="I655">
        <v>250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3">
      <c r="A656" t="s">
        <v>2288</v>
      </c>
      <c r="B656" t="s">
        <v>2593</v>
      </c>
      <c r="C656" t="s">
        <v>2594</v>
      </c>
      <c r="D656" t="s">
        <v>2284</v>
      </c>
      <c r="E656" t="s">
        <v>2285</v>
      </c>
      <c r="F656" t="s">
        <v>2595</v>
      </c>
      <c r="G656" t="s">
        <v>2596</v>
      </c>
      <c r="H656">
        <v>0</v>
      </c>
      <c r="I656">
        <v>250</v>
      </c>
      <c r="J656">
        <v>0</v>
      </c>
      <c r="K656">
        <v>0</v>
      </c>
      <c r="L656">
        <v>0</v>
      </c>
      <c r="M656">
        <v>250</v>
      </c>
      <c r="N656">
        <v>0</v>
      </c>
      <c r="O656">
        <v>0</v>
      </c>
    </row>
    <row r="657" spans="1:15" x14ac:dyDescent="0.3">
      <c r="A657" t="s">
        <v>2288</v>
      </c>
      <c r="B657" t="s">
        <v>2597</v>
      </c>
      <c r="C657" t="s">
        <v>2598</v>
      </c>
      <c r="D657" t="s">
        <v>2284</v>
      </c>
      <c r="E657" t="s">
        <v>2285</v>
      </c>
      <c r="F657" t="s">
        <v>2599</v>
      </c>
      <c r="G657" t="s">
        <v>2600</v>
      </c>
      <c r="H657">
        <v>0</v>
      </c>
      <c r="I657">
        <v>2249</v>
      </c>
      <c r="J657">
        <v>0</v>
      </c>
      <c r="K657">
        <v>323</v>
      </c>
      <c r="L657">
        <v>3100</v>
      </c>
      <c r="M657">
        <v>165</v>
      </c>
      <c r="N657">
        <v>0</v>
      </c>
      <c r="O657">
        <v>0</v>
      </c>
    </row>
    <row r="658" spans="1:15" x14ac:dyDescent="0.3">
      <c r="A658" t="s">
        <v>2288</v>
      </c>
      <c r="B658" t="s">
        <v>2601</v>
      </c>
      <c r="C658" t="s">
        <v>2602</v>
      </c>
      <c r="D658" t="s">
        <v>2284</v>
      </c>
      <c r="E658" t="s">
        <v>2285</v>
      </c>
      <c r="F658" t="s">
        <v>2603</v>
      </c>
      <c r="G658" t="s">
        <v>2604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3">
      <c r="A659" t="s">
        <v>2288</v>
      </c>
      <c r="B659" t="s">
        <v>2605</v>
      </c>
      <c r="C659" t="s">
        <v>2606</v>
      </c>
      <c r="D659" t="s">
        <v>2284</v>
      </c>
      <c r="E659" t="s">
        <v>2285</v>
      </c>
      <c r="F659" t="s">
        <v>2607</v>
      </c>
      <c r="G659" t="s">
        <v>2608</v>
      </c>
      <c r="H659">
        <v>0</v>
      </c>
      <c r="I659">
        <v>250</v>
      </c>
      <c r="J659">
        <v>0</v>
      </c>
      <c r="K659">
        <v>0</v>
      </c>
      <c r="L659">
        <v>0</v>
      </c>
      <c r="M659">
        <v>250</v>
      </c>
      <c r="N659">
        <v>0</v>
      </c>
      <c r="O659">
        <v>0</v>
      </c>
    </row>
    <row r="660" spans="1:15" x14ac:dyDescent="0.3">
      <c r="A660" t="s">
        <v>2288</v>
      </c>
      <c r="B660" t="s">
        <v>2609</v>
      </c>
      <c r="C660" t="s">
        <v>2610</v>
      </c>
      <c r="D660" t="s">
        <v>2284</v>
      </c>
      <c r="E660" t="s">
        <v>2285</v>
      </c>
      <c r="F660" t="s">
        <v>2611</v>
      </c>
      <c r="G660" t="s">
        <v>2612</v>
      </c>
      <c r="H660">
        <v>0</v>
      </c>
      <c r="I660">
        <v>250</v>
      </c>
      <c r="J660">
        <v>0</v>
      </c>
      <c r="K660">
        <v>0</v>
      </c>
      <c r="L660">
        <v>0</v>
      </c>
      <c r="M660">
        <v>250</v>
      </c>
      <c r="N660">
        <v>0</v>
      </c>
      <c r="O660">
        <v>0</v>
      </c>
    </row>
    <row r="661" spans="1:15" x14ac:dyDescent="0.3">
      <c r="A661" t="s">
        <v>2288</v>
      </c>
      <c r="B661" t="s">
        <v>2613</v>
      </c>
      <c r="C661" t="s">
        <v>2614</v>
      </c>
      <c r="D661" t="s">
        <v>2284</v>
      </c>
      <c r="E661" t="s">
        <v>2285</v>
      </c>
      <c r="F661" t="s">
        <v>2615</v>
      </c>
      <c r="G661" t="s">
        <v>2616</v>
      </c>
      <c r="H661">
        <v>0</v>
      </c>
      <c r="I661">
        <v>250</v>
      </c>
      <c r="J661">
        <v>0</v>
      </c>
      <c r="K661">
        <v>0</v>
      </c>
      <c r="L661">
        <v>0</v>
      </c>
      <c r="M661">
        <v>250</v>
      </c>
      <c r="N661">
        <v>0</v>
      </c>
      <c r="O661">
        <v>0</v>
      </c>
    </row>
    <row r="662" spans="1:15" x14ac:dyDescent="0.3">
      <c r="A662" t="s">
        <v>2288</v>
      </c>
      <c r="B662" t="s">
        <v>2617</v>
      </c>
      <c r="C662" t="s">
        <v>2618</v>
      </c>
      <c r="D662" t="s">
        <v>2284</v>
      </c>
      <c r="E662" t="s">
        <v>2285</v>
      </c>
      <c r="F662" t="s">
        <v>2619</v>
      </c>
      <c r="G662" t="s">
        <v>2620</v>
      </c>
      <c r="H662">
        <v>0</v>
      </c>
      <c r="I662">
        <v>250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3">
      <c r="A663" t="s">
        <v>2288</v>
      </c>
      <c r="B663" t="s">
        <v>2621</v>
      </c>
      <c r="C663" t="s">
        <v>2622</v>
      </c>
      <c r="D663" t="s">
        <v>2284</v>
      </c>
      <c r="E663" t="s">
        <v>2285</v>
      </c>
      <c r="F663" t="s">
        <v>2623</v>
      </c>
      <c r="G663" t="s">
        <v>2624</v>
      </c>
      <c r="H663">
        <v>0</v>
      </c>
      <c r="I663">
        <v>250</v>
      </c>
      <c r="J663">
        <v>0</v>
      </c>
      <c r="K663">
        <v>0</v>
      </c>
      <c r="L663">
        <v>0</v>
      </c>
      <c r="M663">
        <v>250</v>
      </c>
      <c r="N663">
        <v>0</v>
      </c>
      <c r="O663">
        <v>0</v>
      </c>
    </row>
    <row r="664" spans="1:15" x14ac:dyDescent="0.3">
      <c r="A664" t="s">
        <v>2288</v>
      </c>
      <c r="B664" t="s">
        <v>2625</v>
      </c>
      <c r="C664" t="s">
        <v>2626</v>
      </c>
      <c r="D664" t="s">
        <v>2284</v>
      </c>
      <c r="E664" t="s">
        <v>2285</v>
      </c>
      <c r="F664" t="s">
        <v>2627</v>
      </c>
      <c r="G664" t="s">
        <v>2628</v>
      </c>
      <c r="H664">
        <v>0</v>
      </c>
      <c r="I664">
        <v>250</v>
      </c>
      <c r="J664">
        <v>0</v>
      </c>
      <c r="K664">
        <v>0</v>
      </c>
      <c r="L664">
        <v>0</v>
      </c>
      <c r="M664">
        <v>250</v>
      </c>
      <c r="N664">
        <v>0</v>
      </c>
      <c r="O664">
        <v>0</v>
      </c>
    </row>
    <row r="665" spans="1:15" x14ac:dyDescent="0.3">
      <c r="A665" t="s">
        <v>2288</v>
      </c>
      <c r="B665" t="s">
        <v>2629</v>
      </c>
      <c r="C665" t="s">
        <v>2630</v>
      </c>
      <c r="D665" t="s">
        <v>2284</v>
      </c>
      <c r="E665" t="s">
        <v>2285</v>
      </c>
      <c r="F665" t="s">
        <v>2631</v>
      </c>
      <c r="G665" t="s">
        <v>2632</v>
      </c>
      <c r="H665">
        <v>0</v>
      </c>
      <c r="I665">
        <v>250</v>
      </c>
      <c r="J665">
        <v>0</v>
      </c>
      <c r="K665">
        <v>0</v>
      </c>
      <c r="L665">
        <v>0</v>
      </c>
      <c r="M665">
        <v>250</v>
      </c>
      <c r="N665">
        <v>0</v>
      </c>
      <c r="O665">
        <v>0</v>
      </c>
    </row>
    <row r="666" spans="1:15" x14ac:dyDescent="0.3">
      <c r="A666" t="s">
        <v>2288</v>
      </c>
      <c r="B666" t="s">
        <v>2633</v>
      </c>
      <c r="C666" t="s">
        <v>2634</v>
      </c>
      <c r="D666" t="s">
        <v>2284</v>
      </c>
      <c r="E666" t="s">
        <v>2285</v>
      </c>
      <c r="F666" t="s">
        <v>2635</v>
      </c>
      <c r="G666" t="s">
        <v>2636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3">
      <c r="A667" t="s">
        <v>2288</v>
      </c>
      <c r="B667" t="s">
        <v>2637</v>
      </c>
      <c r="C667" t="s">
        <v>2638</v>
      </c>
      <c r="D667" t="s">
        <v>2284</v>
      </c>
      <c r="E667" t="s">
        <v>2285</v>
      </c>
      <c r="F667" t="s">
        <v>2639</v>
      </c>
      <c r="G667" t="s">
        <v>2640</v>
      </c>
      <c r="H667">
        <v>0</v>
      </c>
      <c r="I667">
        <v>250</v>
      </c>
      <c r="J667">
        <v>0</v>
      </c>
      <c r="K667">
        <v>0</v>
      </c>
      <c r="L667">
        <v>0</v>
      </c>
      <c r="M667">
        <v>250</v>
      </c>
      <c r="N667">
        <v>0</v>
      </c>
      <c r="O667">
        <v>0</v>
      </c>
    </row>
    <row r="668" spans="1:15" x14ac:dyDescent="0.3">
      <c r="A668" t="s">
        <v>2288</v>
      </c>
      <c r="B668" t="s">
        <v>2641</v>
      </c>
      <c r="C668" t="s">
        <v>2642</v>
      </c>
      <c r="D668" t="s">
        <v>2284</v>
      </c>
      <c r="E668" t="s">
        <v>2285</v>
      </c>
      <c r="F668" t="s">
        <v>2643</v>
      </c>
      <c r="G668" t="s">
        <v>2644</v>
      </c>
      <c r="H668">
        <v>0</v>
      </c>
      <c r="I668">
        <v>250</v>
      </c>
      <c r="J668">
        <v>0</v>
      </c>
      <c r="K668">
        <v>0</v>
      </c>
      <c r="L668">
        <v>0</v>
      </c>
      <c r="M668">
        <v>250</v>
      </c>
      <c r="N668">
        <v>0</v>
      </c>
      <c r="O668">
        <v>0</v>
      </c>
    </row>
    <row r="669" spans="1:15" x14ac:dyDescent="0.3">
      <c r="A669" t="s">
        <v>2288</v>
      </c>
      <c r="B669" t="s">
        <v>2645</v>
      </c>
      <c r="C669" t="s">
        <v>2646</v>
      </c>
      <c r="D669" t="s">
        <v>2284</v>
      </c>
      <c r="E669" t="s">
        <v>2285</v>
      </c>
      <c r="F669" t="s">
        <v>2647</v>
      </c>
      <c r="G669" t="s">
        <v>2648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3">
      <c r="A670" t="s">
        <v>2288</v>
      </c>
      <c r="B670" t="s">
        <v>2649</v>
      </c>
      <c r="C670" t="s">
        <v>2650</v>
      </c>
      <c r="D670" t="s">
        <v>2284</v>
      </c>
      <c r="E670" t="s">
        <v>2285</v>
      </c>
      <c r="F670" t="s">
        <v>2651</v>
      </c>
      <c r="G670" t="s">
        <v>2652</v>
      </c>
      <c r="H670">
        <v>0</v>
      </c>
      <c r="I670">
        <v>250</v>
      </c>
      <c r="J670">
        <v>0</v>
      </c>
      <c r="K670">
        <v>0</v>
      </c>
      <c r="L670">
        <v>0</v>
      </c>
      <c r="M670">
        <v>250</v>
      </c>
      <c r="N670">
        <v>0</v>
      </c>
      <c r="O670">
        <v>0</v>
      </c>
    </row>
    <row r="671" spans="1:15" x14ac:dyDescent="0.3">
      <c r="A671" t="s">
        <v>2288</v>
      </c>
      <c r="B671" t="s">
        <v>2653</v>
      </c>
      <c r="C671" t="s">
        <v>2654</v>
      </c>
      <c r="D671" t="s">
        <v>2284</v>
      </c>
      <c r="E671" t="s">
        <v>2285</v>
      </c>
      <c r="F671" t="s">
        <v>2655</v>
      </c>
      <c r="G671" t="s">
        <v>2656</v>
      </c>
      <c r="H671">
        <v>0</v>
      </c>
      <c r="I671">
        <v>250</v>
      </c>
      <c r="J671">
        <v>0</v>
      </c>
      <c r="K671">
        <v>0</v>
      </c>
      <c r="L671">
        <v>0</v>
      </c>
      <c r="M671">
        <v>250</v>
      </c>
      <c r="N671">
        <v>0</v>
      </c>
      <c r="O671">
        <v>0</v>
      </c>
    </row>
    <row r="672" spans="1:15" x14ac:dyDescent="0.3">
      <c r="A672" t="s">
        <v>2288</v>
      </c>
      <c r="B672" t="s">
        <v>2657</v>
      </c>
      <c r="C672" t="s">
        <v>2658</v>
      </c>
      <c r="D672" t="s">
        <v>2284</v>
      </c>
      <c r="E672" t="s">
        <v>2285</v>
      </c>
      <c r="F672" t="s">
        <v>2659</v>
      </c>
      <c r="G672" t="s">
        <v>2660</v>
      </c>
      <c r="H672">
        <v>0</v>
      </c>
      <c r="I672">
        <v>4206</v>
      </c>
      <c r="J672">
        <v>720</v>
      </c>
      <c r="K672">
        <v>0</v>
      </c>
      <c r="L672">
        <v>2000</v>
      </c>
      <c r="M672">
        <v>286</v>
      </c>
      <c r="N672">
        <v>256</v>
      </c>
      <c r="O672">
        <v>0</v>
      </c>
    </row>
    <row r="673" spans="1:15" x14ac:dyDescent="0.3">
      <c r="A673" t="s">
        <v>2288</v>
      </c>
      <c r="B673" t="s">
        <v>2661</v>
      </c>
      <c r="C673" t="s">
        <v>2662</v>
      </c>
      <c r="D673" t="s">
        <v>2284</v>
      </c>
      <c r="E673" t="s">
        <v>2285</v>
      </c>
      <c r="F673" t="s">
        <v>2663</v>
      </c>
      <c r="G673" t="s">
        <v>2664</v>
      </c>
      <c r="H673">
        <v>0</v>
      </c>
      <c r="I673">
        <v>250</v>
      </c>
      <c r="J673">
        <v>937</v>
      </c>
      <c r="K673">
        <v>544</v>
      </c>
      <c r="L673">
        <v>0</v>
      </c>
      <c r="M673">
        <v>250</v>
      </c>
      <c r="N673">
        <v>0</v>
      </c>
      <c r="O673">
        <v>0</v>
      </c>
    </row>
    <row r="674" spans="1:15" x14ac:dyDescent="0.3">
      <c r="A674" t="s">
        <v>2288</v>
      </c>
      <c r="B674" t="s">
        <v>2665</v>
      </c>
      <c r="C674" t="s">
        <v>2666</v>
      </c>
      <c r="D674" t="s">
        <v>2284</v>
      </c>
      <c r="E674" t="s">
        <v>2285</v>
      </c>
      <c r="F674" t="s">
        <v>2667</v>
      </c>
      <c r="G674" t="s">
        <v>2668</v>
      </c>
      <c r="H674">
        <v>0</v>
      </c>
      <c r="I674">
        <v>1</v>
      </c>
      <c r="J674">
        <v>0</v>
      </c>
      <c r="K674">
        <v>0</v>
      </c>
      <c r="L674">
        <v>1500</v>
      </c>
      <c r="M674">
        <v>1</v>
      </c>
      <c r="N674">
        <v>0</v>
      </c>
      <c r="O674">
        <v>0</v>
      </c>
    </row>
    <row r="675" spans="1:15" x14ac:dyDescent="0.3">
      <c r="A675" t="s">
        <v>2288</v>
      </c>
      <c r="B675" t="s">
        <v>2669</v>
      </c>
      <c r="C675" t="s">
        <v>2670</v>
      </c>
      <c r="D675" t="s">
        <v>2284</v>
      </c>
      <c r="E675" t="s">
        <v>2285</v>
      </c>
      <c r="F675" t="s">
        <v>2671</v>
      </c>
      <c r="G675" t="s">
        <v>2672</v>
      </c>
      <c r="H675">
        <v>0</v>
      </c>
      <c r="I675">
        <v>758</v>
      </c>
      <c r="J675">
        <v>10716</v>
      </c>
      <c r="K675">
        <v>0</v>
      </c>
      <c r="L675">
        <v>0</v>
      </c>
      <c r="M675">
        <v>758</v>
      </c>
      <c r="N675">
        <v>0</v>
      </c>
      <c r="O675">
        <v>0</v>
      </c>
    </row>
    <row r="676" spans="1:15" x14ac:dyDescent="0.3">
      <c r="A676" t="s">
        <v>2288</v>
      </c>
      <c r="B676" t="s">
        <v>2673</v>
      </c>
      <c r="C676" t="s">
        <v>2674</v>
      </c>
      <c r="D676" t="s">
        <v>2284</v>
      </c>
      <c r="E676" t="s">
        <v>2285</v>
      </c>
      <c r="F676" t="s">
        <v>2675</v>
      </c>
      <c r="G676" t="s">
        <v>2676</v>
      </c>
      <c r="H676">
        <v>0</v>
      </c>
      <c r="I676">
        <v>250</v>
      </c>
      <c r="J676">
        <v>0</v>
      </c>
      <c r="K676">
        <v>0</v>
      </c>
      <c r="L676">
        <v>0</v>
      </c>
      <c r="M676">
        <v>250</v>
      </c>
      <c r="N676">
        <v>0</v>
      </c>
      <c r="O676">
        <v>0</v>
      </c>
    </row>
    <row r="677" spans="1:15" x14ac:dyDescent="0.3">
      <c r="A677" t="s">
        <v>2288</v>
      </c>
      <c r="B677" t="s">
        <v>2677</v>
      </c>
      <c r="C677" t="s">
        <v>2678</v>
      </c>
      <c r="D677" t="s">
        <v>2284</v>
      </c>
      <c r="E677" t="s">
        <v>2285</v>
      </c>
      <c r="F677" t="s">
        <v>2679</v>
      </c>
      <c r="G677" t="s">
        <v>2680</v>
      </c>
      <c r="H677">
        <v>0</v>
      </c>
      <c r="I677">
        <v>250</v>
      </c>
      <c r="J677">
        <v>0</v>
      </c>
      <c r="K677">
        <v>0</v>
      </c>
      <c r="L677">
        <v>0</v>
      </c>
      <c r="M677">
        <v>250</v>
      </c>
      <c r="N677">
        <v>0</v>
      </c>
      <c r="O677">
        <v>0</v>
      </c>
    </row>
    <row r="678" spans="1:15" x14ac:dyDescent="0.3">
      <c r="A678" t="s">
        <v>2288</v>
      </c>
      <c r="B678" t="s">
        <v>2681</v>
      </c>
      <c r="C678" t="s">
        <v>2682</v>
      </c>
      <c r="D678" t="s">
        <v>2284</v>
      </c>
      <c r="E678" t="s">
        <v>2285</v>
      </c>
      <c r="F678" t="s">
        <v>2683</v>
      </c>
      <c r="G678" t="s">
        <v>2684</v>
      </c>
      <c r="H678">
        <v>0</v>
      </c>
      <c r="I678">
        <v>1646</v>
      </c>
      <c r="J678">
        <v>9875</v>
      </c>
      <c r="K678">
        <v>0</v>
      </c>
      <c r="L678">
        <v>300</v>
      </c>
      <c r="M678">
        <v>196</v>
      </c>
      <c r="N678">
        <v>0</v>
      </c>
      <c r="O678">
        <v>0</v>
      </c>
    </row>
    <row r="679" spans="1:15" x14ac:dyDescent="0.3">
      <c r="A679" t="s">
        <v>2288</v>
      </c>
      <c r="B679" t="s">
        <v>2685</v>
      </c>
      <c r="C679" t="s">
        <v>2686</v>
      </c>
      <c r="D679" t="s">
        <v>2284</v>
      </c>
      <c r="E679" t="s">
        <v>2285</v>
      </c>
      <c r="F679" t="s">
        <v>2687</v>
      </c>
      <c r="G679" t="s">
        <v>2688</v>
      </c>
      <c r="H679">
        <v>0</v>
      </c>
      <c r="I679">
        <v>250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3">
      <c r="A680" t="s">
        <v>2288</v>
      </c>
      <c r="B680" t="s">
        <v>2689</v>
      </c>
      <c r="C680" t="s">
        <v>2690</v>
      </c>
      <c r="D680" t="s">
        <v>2284</v>
      </c>
      <c r="E680" t="s">
        <v>2285</v>
      </c>
      <c r="F680" t="s">
        <v>2691</v>
      </c>
      <c r="G680" t="s">
        <v>2692</v>
      </c>
      <c r="H680">
        <v>0</v>
      </c>
      <c r="I680">
        <v>842</v>
      </c>
      <c r="J680">
        <v>680</v>
      </c>
      <c r="K680">
        <v>2975</v>
      </c>
      <c r="L680">
        <v>0</v>
      </c>
      <c r="M680">
        <v>842</v>
      </c>
      <c r="N680">
        <v>0</v>
      </c>
      <c r="O680">
        <v>0</v>
      </c>
    </row>
    <row r="681" spans="1:15" x14ac:dyDescent="0.3">
      <c r="A681" t="s">
        <v>2288</v>
      </c>
      <c r="B681" t="s">
        <v>2693</v>
      </c>
      <c r="C681" t="s">
        <v>2694</v>
      </c>
      <c r="D681" t="s">
        <v>2284</v>
      </c>
      <c r="E681" t="s">
        <v>2285</v>
      </c>
      <c r="F681" t="s">
        <v>2695</v>
      </c>
      <c r="G681" t="s">
        <v>2696</v>
      </c>
      <c r="H681">
        <v>0</v>
      </c>
      <c r="I681">
        <v>250</v>
      </c>
      <c r="J681">
        <v>0</v>
      </c>
      <c r="K681">
        <v>0</v>
      </c>
      <c r="L681">
        <v>0</v>
      </c>
      <c r="M681">
        <v>250</v>
      </c>
      <c r="N681">
        <v>0</v>
      </c>
      <c r="O681">
        <v>0</v>
      </c>
    </row>
    <row r="682" spans="1:15" x14ac:dyDescent="0.3">
      <c r="A682" t="s">
        <v>2288</v>
      </c>
      <c r="B682" t="s">
        <v>2697</v>
      </c>
      <c r="C682" t="s">
        <v>2698</v>
      </c>
      <c r="D682" t="s">
        <v>2284</v>
      </c>
      <c r="E682" t="s">
        <v>2285</v>
      </c>
      <c r="F682" t="s">
        <v>2699</v>
      </c>
      <c r="G682" t="s">
        <v>2700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3">
      <c r="A683" t="s">
        <v>2288</v>
      </c>
      <c r="B683" t="s">
        <v>2701</v>
      </c>
      <c r="C683" t="s">
        <v>2702</v>
      </c>
      <c r="D683" t="s">
        <v>2284</v>
      </c>
      <c r="E683" t="s">
        <v>2285</v>
      </c>
      <c r="F683" t="s">
        <v>2703</v>
      </c>
      <c r="G683" t="s">
        <v>2704</v>
      </c>
      <c r="H683">
        <v>0</v>
      </c>
      <c r="I683">
        <v>250</v>
      </c>
      <c r="J683">
        <v>734</v>
      </c>
      <c r="K683">
        <v>0</v>
      </c>
      <c r="L683">
        <v>0</v>
      </c>
      <c r="M683">
        <v>250</v>
      </c>
      <c r="N683">
        <v>0</v>
      </c>
      <c r="O683">
        <v>0</v>
      </c>
    </row>
    <row r="684" spans="1:15" x14ac:dyDescent="0.3">
      <c r="A684" t="s">
        <v>2288</v>
      </c>
      <c r="B684" t="s">
        <v>2705</v>
      </c>
      <c r="C684" t="s">
        <v>2706</v>
      </c>
      <c r="D684" t="s">
        <v>2284</v>
      </c>
      <c r="E684" t="s">
        <v>2285</v>
      </c>
      <c r="F684" t="s">
        <v>2707</v>
      </c>
      <c r="G684" t="s">
        <v>2708</v>
      </c>
      <c r="H684">
        <v>0</v>
      </c>
      <c r="I684">
        <v>250</v>
      </c>
      <c r="J684">
        <v>0</v>
      </c>
      <c r="K684">
        <v>0</v>
      </c>
      <c r="L684">
        <v>0</v>
      </c>
      <c r="M684">
        <v>250</v>
      </c>
      <c r="N684">
        <v>0</v>
      </c>
      <c r="O684">
        <v>0</v>
      </c>
    </row>
    <row r="685" spans="1:15" x14ac:dyDescent="0.3">
      <c r="A685" t="s">
        <v>2288</v>
      </c>
      <c r="B685" t="s">
        <v>2709</v>
      </c>
      <c r="C685" t="s">
        <v>2710</v>
      </c>
      <c r="D685" t="s">
        <v>2284</v>
      </c>
      <c r="E685" t="s">
        <v>2285</v>
      </c>
      <c r="F685" t="s">
        <v>2711</v>
      </c>
      <c r="G685" t="s">
        <v>2712</v>
      </c>
      <c r="H685">
        <v>0</v>
      </c>
      <c r="I685">
        <v>250</v>
      </c>
      <c r="J685">
        <v>0</v>
      </c>
      <c r="K685">
        <v>0</v>
      </c>
      <c r="L685">
        <v>0</v>
      </c>
      <c r="M685">
        <v>250</v>
      </c>
      <c r="N685">
        <v>0</v>
      </c>
      <c r="O685">
        <v>0</v>
      </c>
    </row>
    <row r="686" spans="1:15" x14ac:dyDescent="0.3">
      <c r="A686" t="s">
        <v>2288</v>
      </c>
      <c r="B686" t="s">
        <v>2713</v>
      </c>
      <c r="C686" t="s">
        <v>2714</v>
      </c>
      <c r="D686" t="s">
        <v>2284</v>
      </c>
      <c r="E686" t="s">
        <v>2285</v>
      </c>
      <c r="F686" t="s">
        <v>2715</v>
      </c>
      <c r="G686" t="s">
        <v>2716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3">
      <c r="A687" t="s">
        <v>2288</v>
      </c>
      <c r="B687" t="s">
        <v>2717</v>
      </c>
      <c r="C687" t="s">
        <v>2718</v>
      </c>
      <c r="D687" t="s">
        <v>2284</v>
      </c>
      <c r="E687" t="s">
        <v>2285</v>
      </c>
      <c r="F687" t="s">
        <v>2719</v>
      </c>
      <c r="G687" t="s">
        <v>2720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3">
      <c r="A688" t="s">
        <v>2288</v>
      </c>
      <c r="B688" t="s">
        <v>2721</v>
      </c>
      <c r="C688" t="s">
        <v>2722</v>
      </c>
      <c r="D688" t="s">
        <v>2284</v>
      </c>
      <c r="E688" t="s">
        <v>2285</v>
      </c>
      <c r="F688" t="s">
        <v>2723</v>
      </c>
      <c r="G688" t="s">
        <v>2724</v>
      </c>
      <c r="H688">
        <v>0</v>
      </c>
      <c r="I688">
        <v>250</v>
      </c>
      <c r="J688">
        <v>0</v>
      </c>
      <c r="K688">
        <v>0</v>
      </c>
      <c r="L688">
        <v>0</v>
      </c>
      <c r="M688">
        <v>250</v>
      </c>
      <c r="N688">
        <v>0</v>
      </c>
      <c r="O688">
        <v>0</v>
      </c>
    </row>
    <row r="689" spans="1:15" x14ac:dyDescent="0.3">
      <c r="A689" t="s">
        <v>2288</v>
      </c>
      <c r="B689" t="s">
        <v>2725</v>
      </c>
      <c r="C689" t="s">
        <v>2726</v>
      </c>
      <c r="D689" t="s">
        <v>2284</v>
      </c>
      <c r="E689" t="s">
        <v>2285</v>
      </c>
      <c r="F689" t="s">
        <v>2727</v>
      </c>
      <c r="G689" t="s">
        <v>2728</v>
      </c>
      <c r="H689">
        <v>0</v>
      </c>
      <c r="I689">
        <v>250</v>
      </c>
      <c r="J689">
        <v>0</v>
      </c>
      <c r="K689">
        <v>0</v>
      </c>
      <c r="L689">
        <v>0</v>
      </c>
      <c r="M689">
        <v>250</v>
      </c>
      <c r="N689">
        <v>0</v>
      </c>
      <c r="O689">
        <v>0</v>
      </c>
    </row>
    <row r="690" spans="1:15" x14ac:dyDescent="0.3">
      <c r="A690" t="s">
        <v>2288</v>
      </c>
      <c r="B690" t="s">
        <v>2729</v>
      </c>
      <c r="C690" t="s">
        <v>2730</v>
      </c>
      <c r="D690" t="s">
        <v>2284</v>
      </c>
      <c r="E690" t="s">
        <v>2285</v>
      </c>
      <c r="F690" t="s">
        <v>2731</v>
      </c>
      <c r="G690" t="s">
        <v>2732</v>
      </c>
      <c r="H690">
        <v>0</v>
      </c>
      <c r="I690">
        <v>250</v>
      </c>
      <c r="J690">
        <v>1776</v>
      </c>
      <c r="K690">
        <v>0</v>
      </c>
      <c r="L690">
        <v>0</v>
      </c>
      <c r="M690">
        <v>250</v>
      </c>
      <c r="N690">
        <v>0</v>
      </c>
      <c r="O690">
        <v>0</v>
      </c>
    </row>
    <row r="691" spans="1:15" x14ac:dyDescent="0.3">
      <c r="A691" t="s">
        <v>2288</v>
      </c>
      <c r="B691" t="s">
        <v>2733</v>
      </c>
      <c r="C691" t="s">
        <v>2734</v>
      </c>
      <c r="D691" t="s">
        <v>2284</v>
      </c>
      <c r="E691" t="s">
        <v>2285</v>
      </c>
      <c r="F691" t="s">
        <v>2735</v>
      </c>
      <c r="G691" t="s">
        <v>2736</v>
      </c>
      <c r="H691">
        <v>0</v>
      </c>
      <c r="I691">
        <v>250</v>
      </c>
      <c r="J691">
        <v>0</v>
      </c>
      <c r="K691">
        <v>0</v>
      </c>
      <c r="L691">
        <v>0</v>
      </c>
      <c r="M691">
        <v>250</v>
      </c>
      <c r="N691">
        <v>0</v>
      </c>
      <c r="O691">
        <v>0</v>
      </c>
    </row>
    <row r="692" spans="1:15" x14ac:dyDescent="0.3">
      <c r="A692" t="s">
        <v>2288</v>
      </c>
      <c r="B692" t="s">
        <v>2737</v>
      </c>
      <c r="C692" t="s">
        <v>2738</v>
      </c>
      <c r="D692" t="s">
        <v>2284</v>
      </c>
      <c r="E692" t="s">
        <v>2285</v>
      </c>
      <c r="F692" t="s">
        <v>2739</v>
      </c>
      <c r="G692" t="s">
        <v>2740</v>
      </c>
      <c r="H692">
        <v>0</v>
      </c>
      <c r="I692">
        <v>250</v>
      </c>
      <c r="J692">
        <v>12384</v>
      </c>
      <c r="K692">
        <v>0</v>
      </c>
      <c r="L692">
        <v>0</v>
      </c>
      <c r="M692">
        <v>250</v>
      </c>
      <c r="N692">
        <v>0</v>
      </c>
      <c r="O692">
        <v>0</v>
      </c>
    </row>
    <row r="693" spans="1:15" x14ac:dyDescent="0.3">
      <c r="A693" t="s">
        <v>2288</v>
      </c>
      <c r="B693" t="s">
        <v>2741</v>
      </c>
      <c r="C693" t="s">
        <v>2742</v>
      </c>
      <c r="D693" t="s">
        <v>2284</v>
      </c>
      <c r="E693" t="s">
        <v>2285</v>
      </c>
      <c r="F693" t="s">
        <v>2743</v>
      </c>
      <c r="G693" t="s">
        <v>2744</v>
      </c>
      <c r="H693">
        <v>0</v>
      </c>
      <c r="I693">
        <v>1316</v>
      </c>
      <c r="J693">
        <v>0</v>
      </c>
      <c r="K693">
        <v>520</v>
      </c>
      <c r="L693">
        <v>0</v>
      </c>
      <c r="M693">
        <v>1316</v>
      </c>
      <c r="N693">
        <v>0</v>
      </c>
      <c r="O693">
        <v>0</v>
      </c>
    </row>
    <row r="694" spans="1:15" x14ac:dyDescent="0.3">
      <c r="A694" t="s">
        <v>2288</v>
      </c>
      <c r="B694" t="s">
        <v>2745</v>
      </c>
      <c r="C694" t="s">
        <v>2746</v>
      </c>
      <c r="D694" t="s">
        <v>2284</v>
      </c>
      <c r="E694" t="s">
        <v>2285</v>
      </c>
      <c r="F694" t="s">
        <v>2747</v>
      </c>
      <c r="G694" t="s">
        <v>2748</v>
      </c>
      <c r="H694">
        <v>0</v>
      </c>
      <c r="I694">
        <v>250</v>
      </c>
      <c r="J694">
        <v>0</v>
      </c>
      <c r="K694">
        <v>0</v>
      </c>
      <c r="L694">
        <v>0</v>
      </c>
      <c r="M694">
        <v>250</v>
      </c>
      <c r="N694">
        <v>0</v>
      </c>
      <c r="O694">
        <v>0</v>
      </c>
    </row>
    <row r="695" spans="1:15" x14ac:dyDescent="0.3">
      <c r="A695" t="s">
        <v>2288</v>
      </c>
      <c r="B695" t="s">
        <v>2749</v>
      </c>
      <c r="C695" t="s">
        <v>2750</v>
      </c>
      <c r="D695" t="s">
        <v>2284</v>
      </c>
      <c r="E695" t="s">
        <v>2285</v>
      </c>
      <c r="F695" t="s">
        <v>2751</v>
      </c>
      <c r="G695" t="s">
        <v>2752</v>
      </c>
      <c r="H695">
        <v>0</v>
      </c>
      <c r="I695">
        <v>250</v>
      </c>
      <c r="J695">
        <v>0</v>
      </c>
      <c r="K695">
        <v>0</v>
      </c>
      <c r="L695">
        <v>0</v>
      </c>
      <c r="M695">
        <v>250</v>
      </c>
      <c r="N695">
        <v>0</v>
      </c>
      <c r="O695">
        <v>0</v>
      </c>
    </row>
    <row r="696" spans="1:15" x14ac:dyDescent="0.3">
      <c r="A696" t="s">
        <v>2288</v>
      </c>
      <c r="B696" t="s">
        <v>2753</v>
      </c>
      <c r="C696" t="s">
        <v>2754</v>
      </c>
      <c r="D696" t="s">
        <v>2284</v>
      </c>
      <c r="E696" t="s">
        <v>2285</v>
      </c>
      <c r="F696" t="s">
        <v>2755</v>
      </c>
      <c r="G696" t="s">
        <v>2756</v>
      </c>
      <c r="H696">
        <v>0</v>
      </c>
      <c r="I696">
        <v>250</v>
      </c>
      <c r="J696">
        <v>952</v>
      </c>
      <c r="K696">
        <v>0</v>
      </c>
      <c r="L696">
        <v>0</v>
      </c>
      <c r="M696">
        <v>250</v>
      </c>
      <c r="N696">
        <v>0</v>
      </c>
      <c r="O696">
        <v>0</v>
      </c>
    </row>
    <row r="697" spans="1:15" x14ac:dyDescent="0.3">
      <c r="A697" t="s">
        <v>2288</v>
      </c>
      <c r="B697" t="s">
        <v>2757</v>
      </c>
      <c r="C697" t="s">
        <v>2758</v>
      </c>
      <c r="D697" t="s">
        <v>2284</v>
      </c>
      <c r="E697" t="s">
        <v>2285</v>
      </c>
      <c r="F697" t="s">
        <v>2759</v>
      </c>
      <c r="G697" t="s">
        <v>2760</v>
      </c>
      <c r="H697">
        <v>0</v>
      </c>
      <c r="I697">
        <v>250</v>
      </c>
      <c r="J697">
        <v>0</v>
      </c>
      <c r="K697">
        <v>0</v>
      </c>
      <c r="L697">
        <v>0</v>
      </c>
      <c r="M697">
        <v>250</v>
      </c>
      <c r="N697">
        <v>0</v>
      </c>
      <c r="O697">
        <v>0</v>
      </c>
    </row>
    <row r="698" spans="1:15" x14ac:dyDescent="0.3">
      <c r="A698" t="s">
        <v>2288</v>
      </c>
      <c r="B698" t="s">
        <v>2761</v>
      </c>
      <c r="C698" t="s">
        <v>2762</v>
      </c>
      <c r="D698" t="s">
        <v>2284</v>
      </c>
      <c r="E698" t="s">
        <v>2285</v>
      </c>
      <c r="F698" t="s">
        <v>2763</v>
      </c>
      <c r="G698" t="s">
        <v>2764</v>
      </c>
      <c r="H698">
        <v>0</v>
      </c>
      <c r="I698">
        <v>3902</v>
      </c>
      <c r="J698">
        <v>5317</v>
      </c>
      <c r="K698">
        <v>4517</v>
      </c>
      <c r="L698">
        <v>600</v>
      </c>
      <c r="M698">
        <v>3902</v>
      </c>
      <c r="N698">
        <v>0</v>
      </c>
      <c r="O698">
        <v>0</v>
      </c>
    </row>
    <row r="699" spans="1:15" x14ac:dyDescent="0.3">
      <c r="A699" t="s">
        <v>2288</v>
      </c>
      <c r="B699" t="s">
        <v>2765</v>
      </c>
      <c r="C699" t="s">
        <v>2766</v>
      </c>
      <c r="D699" t="s">
        <v>2284</v>
      </c>
      <c r="E699" t="s">
        <v>2285</v>
      </c>
      <c r="F699" t="s">
        <v>2767</v>
      </c>
      <c r="G699" t="s">
        <v>2768</v>
      </c>
      <c r="H699">
        <v>0</v>
      </c>
      <c r="I699">
        <v>250</v>
      </c>
      <c r="J699">
        <v>5481</v>
      </c>
      <c r="K699">
        <v>3409</v>
      </c>
      <c r="L699">
        <v>0</v>
      </c>
      <c r="M699">
        <v>250</v>
      </c>
      <c r="N699">
        <v>0</v>
      </c>
      <c r="O699">
        <v>0</v>
      </c>
    </row>
    <row r="700" spans="1:15" x14ac:dyDescent="0.3">
      <c r="A700" t="s">
        <v>2288</v>
      </c>
      <c r="B700" t="s">
        <v>2769</v>
      </c>
      <c r="C700" t="s">
        <v>2770</v>
      </c>
      <c r="D700" t="s">
        <v>2284</v>
      </c>
      <c r="E700" t="s">
        <v>2285</v>
      </c>
      <c r="F700" t="s">
        <v>2771</v>
      </c>
      <c r="G700" t="s">
        <v>2772</v>
      </c>
      <c r="H700">
        <v>0</v>
      </c>
      <c r="I700">
        <v>150</v>
      </c>
      <c r="J700">
        <v>1464</v>
      </c>
      <c r="K700">
        <v>0</v>
      </c>
      <c r="L700">
        <v>900</v>
      </c>
      <c r="M700">
        <v>150</v>
      </c>
      <c r="N700">
        <v>0</v>
      </c>
      <c r="O700">
        <v>0</v>
      </c>
    </row>
    <row r="701" spans="1:15" x14ac:dyDescent="0.3">
      <c r="A701" t="s">
        <v>2288</v>
      </c>
      <c r="B701" t="s">
        <v>2773</v>
      </c>
      <c r="C701" t="s">
        <v>2774</v>
      </c>
      <c r="D701" t="s">
        <v>2284</v>
      </c>
      <c r="E701" t="s">
        <v>2285</v>
      </c>
      <c r="F701" t="s">
        <v>2775</v>
      </c>
      <c r="G701" t="s">
        <v>2776</v>
      </c>
      <c r="H701">
        <v>2774</v>
      </c>
      <c r="I701">
        <v>6078</v>
      </c>
      <c r="J701">
        <v>56225</v>
      </c>
      <c r="K701">
        <v>0</v>
      </c>
      <c r="L701">
        <v>22850</v>
      </c>
      <c r="M701">
        <v>1630</v>
      </c>
      <c r="N701">
        <v>0</v>
      </c>
      <c r="O701">
        <v>0</v>
      </c>
    </row>
    <row r="702" spans="1:15" x14ac:dyDescent="0.3">
      <c r="A702" t="s">
        <v>2288</v>
      </c>
      <c r="B702" t="s">
        <v>2777</v>
      </c>
      <c r="C702" t="s">
        <v>2778</v>
      </c>
      <c r="D702" t="s">
        <v>2284</v>
      </c>
      <c r="E702" t="s">
        <v>2285</v>
      </c>
      <c r="F702" t="s">
        <v>2779</v>
      </c>
      <c r="G702" t="s">
        <v>2780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3">
      <c r="A703" t="s">
        <v>2288</v>
      </c>
      <c r="B703" t="s">
        <v>2781</v>
      </c>
      <c r="C703" t="s">
        <v>2782</v>
      </c>
      <c r="D703" t="s">
        <v>2284</v>
      </c>
      <c r="E703" t="s">
        <v>2285</v>
      </c>
      <c r="F703" t="s">
        <v>2783</v>
      </c>
      <c r="G703" t="s">
        <v>2784</v>
      </c>
      <c r="H703">
        <v>0</v>
      </c>
      <c r="I703">
        <v>250</v>
      </c>
      <c r="J703">
        <v>0</v>
      </c>
      <c r="K703">
        <v>0</v>
      </c>
      <c r="L703">
        <v>0</v>
      </c>
      <c r="M703">
        <v>250</v>
      </c>
      <c r="N703">
        <v>0</v>
      </c>
      <c r="O703">
        <v>0</v>
      </c>
    </row>
    <row r="704" spans="1:15" x14ac:dyDescent="0.3">
      <c r="A704" t="s">
        <v>2288</v>
      </c>
      <c r="B704" t="s">
        <v>2785</v>
      </c>
      <c r="C704" t="s">
        <v>2786</v>
      </c>
      <c r="D704" t="s">
        <v>2284</v>
      </c>
      <c r="E704" t="s">
        <v>2285</v>
      </c>
      <c r="F704" t="s">
        <v>2787</v>
      </c>
      <c r="G704" t="s">
        <v>2788</v>
      </c>
      <c r="H704">
        <v>0</v>
      </c>
      <c r="I704">
        <v>250</v>
      </c>
      <c r="J704">
        <v>0</v>
      </c>
      <c r="K704">
        <v>0</v>
      </c>
      <c r="L704">
        <v>0</v>
      </c>
      <c r="M704">
        <v>250</v>
      </c>
      <c r="N704">
        <v>0</v>
      </c>
      <c r="O704">
        <v>0</v>
      </c>
    </row>
    <row r="705" spans="1:15" x14ac:dyDescent="0.3">
      <c r="A705" t="s">
        <v>2288</v>
      </c>
      <c r="B705" t="s">
        <v>2789</v>
      </c>
      <c r="C705" t="s">
        <v>2790</v>
      </c>
      <c r="D705" t="s">
        <v>2284</v>
      </c>
      <c r="E705" t="s">
        <v>2285</v>
      </c>
      <c r="F705" t="s">
        <v>2791</v>
      </c>
      <c r="G705" t="s">
        <v>2792</v>
      </c>
      <c r="H705">
        <v>0</v>
      </c>
      <c r="I705">
        <v>250</v>
      </c>
      <c r="J705">
        <v>4440</v>
      </c>
      <c r="K705">
        <v>0</v>
      </c>
      <c r="L705">
        <v>0</v>
      </c>
      <c r="M705">
        <v>250</v>
      </c>
      <c r="N705">
        <v>0</v>
      </c>
      <c r="O705">
        <v>0</v>
      </c>
    </row>
    <row r="706" spans="1:15" x14ac:dyDescent="0.3">
      <c r="A706" t="s">
        <v>2288</v>
      </c>
      <c r="B706" t="s">
        <v>2793</v>
      </c>
      <c r="C706" t="s">
        <v>2794</v>
      </c>
      <c r="D706" t="s">
        <v>2284</v>
      </c>
      <c r="E706" t="s">
        <v>2285</v>
      </c>
      <c r="F706" t="s">
        <v>2795</v>
      </c>
      <c r="G706" t="s">
        <v>2796</v>
      </c>
      <c r="H706">
        <v>3109</v>
      </c>
      <c r="I706">
        <v>22264</v>
      </c>
      <c r="J706">
        <v>24788</v>
      </c>
      <c r="K706">
        <v>7174</v>
      </c>
      <c r="L706">
        <v>0</v>
      </c>
      <c r="M706">
        <v>15799</v>
      </c>
      <c r="N706">
        <v>4015</v>
      </c>
      <c r="O706">
        <v>0</v>
      </c>
    </row>
    <row r="707" spans="1:15" x14ac:dyDescent="0.3">
      <c r="A707" t="s">
        <v>2288</v>
      </c>
      <c r="B707" t="s">
        <v>2797</v>
      </c>
      <c r="C707" t="s">
        <v>2798</v>
      </c>
      <c r="D707" t="s">
        <v>2284</v>
      </c>
      <c r="E707" t="s">
        <v>2285</v>
      </c>
      <c r="F707" t="s">
        <v>2799</v>
      </c>
      <c r="G707" t="s">
        <v>2800</v>
      </c>
      <c r="H707">
        <v>0</v>
      </c>
      <c r="I707">
        <v>250</v>
      </c>
      <c r="J707">
        <v>0</v>
      </c>
      <c r="K707">
        <v>0</v>
      </c>
      <c r="L707">
        <v>0</v>
      </c>
      <c r="M707">
        <v>250</v>
      </c>
      <c r="N707">
        <v>0</v>
      </c>
      <c r="O707">
        <v>0</v>
      </c>
    </row>
    <row r="708" spans="1:15" x14ac:dyDescent="0.3">
      <c r="A708" t="s">
        <v>2288</v>
      </c>
      <c r="B708" t="s">
        <v>2801</v>
      </c>
      <c r="C708" t="s">
        <v>2802</v>
      </c>
      <c r="D708" t="s">
        <v>2284</v>
      </c>
      <c r="E708" t="s">
        <v>2285</v>
      </c>
      <c r="F708" t="s">
        <v>2803</v>
      </c>
      <c r="G708" t="s">
        <v>2804</v>
      </c>
      <c r="H708">
        <v>0</v>
      </c>
      <c r="I708">
        <v>250</v>
      </c>
      <c r="J708">
        <v>0</v>
      </c>
      <c r="K708">
        <v>0</v>
      </c>
      <c r="L708">
        <v>0</v>
      </c>
      <c r="M708">
        <v>250</v>
      </c>
      <c r="N708">
        <v>0</v>
      </c>
      <c r="O708">
        <v>0</v>
      </c>
    </row>
    <row r="709" spans="1:15" x14ac:dyDescent="0.3">
      <c r="A709" t="s">
        <v>2288</v>
      </c>
      <c r="B709" t="s">
        <v>2805</v>
      </c>
      <c r="C709" t="s">
        <v>2806</v>
      </c>
      <c r="D709" t="s">
        <v>2284</v>
      </c>
      <c r="E709" t="s">
        <v>2285</v>
      </c>
      <c r="F709" t="s">
        <v>2807</v>
      </c>
      <c r="G709" t="s">
        <v>2808</v>
      </c>
      <c r="H709">
        <v>0</v>
      </c>
      <c r="I709">
        <v>250</v>
      </c>
      <c r="J709">
        <v>0</v>
      </c>
      <c r="K709">
        <v>484</v>
      </c>
      <c r="L709">
        <v>0</v>
      </c>
      <c r="M709">
        <v>250</v>
      </c>
      <c r="N709">
        <v>0</v>
      </c>
      <c r="O709">
        <v>0</v>
      </c>
    </row>
    <row r="710" spans="1:15" x14ac:dyDescent="0.3">
      <c r="A710" t="s">
        <v>2288</v>
      </c>
      <c r="B710" t="s">
        <v>2809</v>
      </c>
      <c r="C710" t="s">
        <v>2810</v>
      </c>
      <c r="D710" t="s">
        <v>2284</v>
      </c>
      <c r="E710" t="s">
        <v>2285</v>
      </c>
      <c r="F710" t="s">
        <v>2811</v>
      </c>
      <c r="G710" t="s">
        <v>2812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3">
      <c r="A711" t="s">
        <v>2288</v>
      </c>
      <c r="B711" t="s">
        <v>2813</v>
      </c>
      <c r="C711" t="s">
        <v>2814</v>
      </c>
      <c r="D711" t="s">
        <v>2284</v>
      </c>
      <c r="E711" t="s">
        <v>2285</v>
      </c>
      <c r="F711" t="s">
        <v>2815</v>
      </c>
      <c r="G711" t="s">
        <v>2816</v>
      </c>
      <c r="H711">
        <v>0</v>
      </c>
      <c r="I711">
        <v>250</v>
      </c>
      <c r="J711">
        <v>0</v>
      </c>
      <c r="K711">
        <v>0</v>
      </c>
      <c r="L711">
        <v>0</v>
      </c>
      <c r="M711">
        <v>250</v>
      </c>
      <c r="N711">
        <v>0</v>
      </c>
      <c r="O711">
        <v>0</v>
      </c>
    </row>
    <row r="712" spans="1:15" x14ac:dyDescent="0.3">
      <c r="A712" t="s">
        <v>2288</v>
      </c>
      <c r="B712" t="s">
        <v>2817</v>
      </c>
      <c r="C712" t="s">
        <v>2818</v>
      </c>
      <c r="D712" t="s">
        <v>2284</v>
      </c>
      <c r="E712" t="s">
        <v>2285</v>
      </c>
      <c r="F712" t="s">
        <v>2819</v>
      </c>
      <c r="G712" t="s">
        <v>2820</v>
      </c>
      <c r="H712">
        <v>0</v>
      </c>
      <c r="I712">
        <v>1360</v>
      </c>
      <c r="J712">
        <v>1822</v>
      </c>
      <c r="K712">
        <v>4198</v>
      </c>
      <c r="L712">
        <v>0</v>
      </c>
      <c r="M712">
        <v>977</v>
      </c>
      <c r="N712">
        <v>727</v>
      </c>
      <c r="O712">
        <v>0</v>
      </c>
    </row>
    <row r="713" spans="1:15" x14ac:dyDescent="0.3">
      <c r="A713" t="s">
        <v>2288</v>
      </c>
      <c r="B713" t="s">
        <v>2821</v>
      </c>
      <c r="C713" t="s">
        <v>2822</v>
      </c>
      <c r="D713" t="s">
        <v>2284</v>
      </c>
      <c r="E713" t="s">
        <v>2285</v>
      </c>
      <c r="F713" t="s">
        <v>2823</v>
      </c>
      <c r="G713" t="s">
        <v>2824</v>
      </c>
      <c r="H713">
        <v>0</v>
      </c>
      <c r="I713">
        <v>250</v>
      </c>
      <c r="J713">
        <v>0</v>
      </c>
      <c r="K713">
        <v>0</v>
      </c>
      <c r="L713">
        <v>0</v>
      </c>
      <c r="M713">
        <v>250</v>
      </c>
      <c r="N713">
        <v>0</v>
      </c>
      <c r="O713">
        <v>0</v>
      </c>
    </row>
    <row r="714" spans="1:15" x14ac:dyDescent="0.3">
      <c r="A714" t="s">
        <v>2288</v>
      </c>
      <c r="B714" t="s">
        <v>2825</v>
      </c>
      <c r="C714" t="s">
        <v>2826</v>
      </c>
      <c r="D714" t="s">
        <v>2284</v>
      </c>
      <c r="E714" t="s">
        <v>2285</v>
      </c>
      <c r="F714" t="s">
        <v>2827</v>
      </c>
      <c r="G714" t="s">
        <v>2828</v>
      </c>
      <c r="H714">
        <v>0</v>
      </c>
      <c r="I714">
        <v>526</v>
      </c>
      <c r="J714">
        <v>0</v>
      </c>
      <c r="K714">
        <v>0</v>
      </c>
      <c r="L714">
        <v>0</v>
      </c>
      <c r="M714">
        <v>526</v>
      </c>
      <c r="N714">
        <v>276</v>
      </c>
      <c r="O714">
        <v>0</v>
      </c>
    </row>
    <row r="715" spans="1:15" x14ac:dyDescent="0.3">
      <c r="A715" t="s">
        <v>2288</v>
      </c>
      <c r="B715" t="s">
        <v>2829</v>
      </c>
      <c r="C715" t="s">
        <v>2830</v>
      </c>
      <c r="D715" t="s">
        <v>2284</v>
      </c>
      <c r="E715" t="s">
        <v>2285</v>
      </c>
      <c r="F715" t="s">
        <v>2831</v>
      </c>
      <c r="G715" t="s">
        <v>2832</v>
      </c>
      <c r="H715">
        <v>0</v>
      </c>
      <c r="I715">
        <v>632</v>
      </c>
      <c r="J715">
        <v>0</v>
      </c>
      <c r="K715">
        <v>0</v>
      </c>
      <c r="L715">
        <v>0</v>
      </c>
      <c r="M715">
        <v>250</v>
      </c>
      <c r="N715">
        <v>0</v>
      </c>
      <c r="O715">
        <v>0</v>
      </c>
    </row>
    <row r="716" spans="1:15" x14ac:dyDescent="0.3">
      <c r="A716" t="s">
        <v>2288</v>
      </c>
      <c r="B716" t="s">
        <v>2833</v>
      </c>
      <c r="C716" t="s">
        <v>2834</v>
      </c>
      <c r="D716" t="s">
        <v>2284</v>
      </c>
      <c r="E716" t="s">
        <v>2285</v>
      </c>
      <c r="F716" t="s">
        <v>2835</v>
      </c>
      <c r="G716" t="s">
        <v>2836</v>
      </c>
      <c r="H716">
        <v>0</v>
      </c>
      <c r="I716">
        <v>250</v>
      </c>
      <c r="J716">
        <v>0</v>
      </c>
      <c r="K716">
        <v>0</v>
      </c>
      <c r="L716">
        <v>0</v>
      </c>
      <c r="M716">
        <v>250</v>
      </c>
      <c r="N716">
        <v>0</v>
      </c>
      <c r="O716">
        <v>0</v>
      </c>
    </row>
    <row r="717" spans="1:15" x14ac:dyDescent="0.3">
      <c r="A717" t="s">
        <v>2288</v>
      </c>
      <c r="B717" t="s">
        <v>2837</v>
      </c>
      <c r="C717" t="s">
        <v>2838</v>
      </c>
      <c r="D717" t="s">
        <v>2284</v>
      </c>
      <c r="E717" t="s">
        <v>2285</v>
      </c>
      <c r="F717" t="s">
        <v>2839</v>
      </c>
      <c r="G717" t="s">
        <v>2840</v>
      </c>
      <c r="H717">
        <v>0</v>
      </c>
      <c r="I717">
        <v>250</v>
      </c>
      <c r="J717">
        <v>0</v>
      </c>
      <c r="K717">
        <v>0</v>
      </c>
      <c r="L717">
        <v>0</v>
      </c>
      <c r="M717">
        <v>250</v>
      </c>
      <c r="N717">
        <v>0</v>
      </c>
      <c r="O717">
        <v>0</v>
      </c>
    </row>
    <row r="718" spans="1:15" x14ac:dyDescent="0.3">
      <c r="A718" t="s">
        <v>2288</v>
      </c>
      <c r="B718" t="s">
        <v>2841</v>
      </c>
      <c r="C718" t="s">
        <v>2842</v>
      </c>
      <c r="D718" t="s">
        <v>2284</v>
      </c>
      <c r="E718" t="s">
        <v>2285</v>
      </c>
      <c r="F718" t="s">
        <v>2843</v>
      </c>
      <c r="G718" t="s">
        <v>2844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 x14ac:dyDescent="0.3">
      <c r="A719" t="s">
        <v>2288</v>
      </c>
      <c r="B719" t="s">
        <v>2845</v>
      </c>
      <c r="C719" t="s">
        <v>2846</v>
      </c>
      <c r="D719" t="s">
        <v>2284</v>
      </c>
      <c r="E719" t="s">
        <v>2285</v>
      </c>
      <c r="F719" t="s">
        <v>2847</v>
      </c>
      <c r="G719" t="s">
        <v>2848</v>
      </c>
      <c r="H719">
        <v>0</v>
      </c>
      <c r="I719">
        <v>250</v>
      </c>
      <c r="J719">
        <v>0</v>
      </c>
      <c r="K719">
        <v>0</v>
      </c>
      <c r="L719">
        <v>0</v>
      </c>
      <c r="M719">
        <v>250</v>
      </c>
      <c r="N719">
        <v>0</v>
      </c>
      <c r="O719">
        <v>0</v>
      </c>
    </row>
    <row r="720" spans="1:15" x14ac:dyDescent="0.3">
      <c r="A720" t="s">
        <v>2288</v>
      </c>
      <c r="B720" t="s">
        <v>2849</v>
      </c>
      <c r="C720" t="s">
        <v>2850</v>
      </c>
      <c r="D720" t="s">
        <v>2284</v>
      </c>
      <c r="E720" t="s">
        <v>2285</v>
      </c>
      <c r="F720" t="s">
        <v>2851</v>
      </c>
      <c r="G720" t="s">
        <v>2852</v>
      </c>
      <c r="H720">
        <v>0</v>
      </c>
      <c r="I720">
        <v>1777</v>
      </c>
      <c r="J720">
        <v>628</v>
      </c>
      <c r="K720">
        <v>0</v>
      </c>
      <c r="L720">
        <v>0</v>
      </c>
      <c r="M720">
        <v>1395</v>
      </c>
      <c r="N720">
        <v>316</v>
      </c>
      <c r="O720">
        <v>0</v>
      </c>
    </row>
    <row r="721" spans="1:15" x14ac:dyDescent="0.3">
      <c r="A721" t="s">
        <v>2288</v>
      </c>
      <c r="B721" t="s">
        <v>2853</v>
      </c>
      <c r="C721" t="s">
        <v>2782</v>
      </c>
      <c r="D721" t="s">
        <v>2284</v>
      </c>
      <c r="E721" t="s">
        <v>2285</v>
      </c>
      <c r="F721" t="s">
        <v>2854</v>
      </c>
      <c r="G721" t="s">
        <v>2855</v>
      </c>
      <c r="H721">
        <v>0</v>
      </c>
      <c r="I721">
        <v>250</v>
      </c>
      <c r="J721">
        <v>400</v>
      </c>
      <c r="K721">
        <v>0</v>
      </c>
      <c r="L721">
        <v>0</v>
      </c>
      <c r="M721">
        <v>250</v>
      </c>
      <c r="N721">
        <v>0</v>
      </c>
      <c r="O721">
        <v>0</v>
      </c>
    </row>
    <row r="722" spans="1:15" x14ac:dyDescent="0.3">
      <c r="A722" t="s">
        <v>2288</v>
      </c>
      <c r="B722" t="s">
        <v>2856</v>
      </c>
      <c r="C722" t="s">
        <v>2857</v>
      </c>
      <c r="D722" t="s">
        <v>2284</v>
      </c>
      <c r="E722" t="s">
        <v>2285</v>
      </c>
      <c r="F722" t="s">
        <v>2858</v>
      </c>
      <c r="G722" t="s">
        <v>2859</v>
      </c>
      <c r="H722">
        <v>0</v>
      </c>
      <c r="I722">
        <v>250</v>
      </c>
      <c r="J722">
        <v>0</v>
      </c>
      <c r="K722">
        <v>0</v>
      </c>
      <c r="L722">
        <v>0</v>
      </c>
      <c r="M722">
        <v>250</v>
      </c>
      <c r="N722">
        <v>0</v>
      </c>
      <c r="O722">
        <v>0</v>
      </c>
    </row>
    <row r="723" spans="1:15" x14ac:dyDescent="0.3">
      <c r="A723" t="s">
        <v>2288</v>
      </c>
      <c r="B723" t="s">
        <v>2860</v>
      </c>
      <c r="C723" t="s">
        <v>2861</v>
      </c>
      <c r="D723" t="s">
        <v>2284</v>
      </c>
      <c r="E723" t="s">
        <v>2285</v>
      </c>
      <c r="F723" t="s">
        <v>2862</v>
      </c>
      <c r="G723" t="s">
        <v>2863</v>
      </c>
      <c r="H723">
        <v>0</v>
      </c>
      <c r="I723">
        <v>250</v>
      </c>
      <c r="J723">
        <v>0</v>
      </c>
      <c r="K723">
        <v>0</v>
      </c>
      <c r="L723">
        <v>0</v>
      </c>
      <c r="M723">
        <v>250</v>
      </c>
      <c r="N723">
        <v>0</v>
      </c>
      <c r="O723">
        <v>0</v>
      </c>
    </row>
    <row r="724" spans="1:15" x14ac:dyDescent="0.3">
      <c r="A724" t="s">
        <v>2288</v>
      </c>
      <c r="B724" t="s">
        <v>2864</v>
      </c>
      <c r="C724" t="s">
        <v>2865</v>
      </c>
      <c r="D724" t="s">
        <v>2284</v>
      </c>
      <c r="E724" t="s">
        <v>2285</v>
      </c>
      <c r="F724" t="s">
        <v>2866</v>
      </c>
      <c r="G724" t="s">
        <v>2867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x14ac:dyDescent="0.3">
      <c r="A725" t="s">
        <v>2288</v>
      </c>
      <c r="B725" t="s">
        <v>2868</v>
      </c>
      <c r="C725" t="s">
        <v>2869</v>
      </c>
      <c r="D725" t="s">
        <v>2284</v>
      </c>
      <c r="E725" t="s">
        <v>2285</v>
      </c>
      <c r="F725" t="s">
        <v>2870</v>
      </c>
      <c r="G725">
        <f>255713667860 / 255782667860</f>
        <v>0.99973023973603337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 x14ac:dyDescent="0.3">
      <c r="A726" t="s">
        <v>2288</v>
      </c>
      <c r="B726" t="s">
        <v>2871</v>
      </c>
      <c r="C726" t="s">
        <v>2872</v>
      </c>
      <c r="D726" t="s">
        <v>2284</v>
      </c>
      <c r="E726" t="s">
        <v>2285</v>
      </c>
      <c r="F726" t="s">
        <v>2873</v>
      </c>
      <c r="G726" t="s">
        <v>2874</v>
      </c>
      <c r="H726">
        <v>0</v>
      </c>
      <c r="I726">
        <v>250</v>
      </c>
      <c r="J726">
        <v>0</v>
      </c>
      <c r="K726">
        <v>0</v>
      </c>
      <c r="L726">
        <v>0</v>
      </c>
      <c r="M726">
        <v>250</v>
      </c>
      <c r="N726">
        <v>0</v>
      </c>
      <c r="O726">
        <v>0</v>
      </c>
    </row>
    <row r="727" spans="1:15" x14ac:dyDescent="0.3">
      <c r="A727" t="s">
        <v>2288</v>
      </c>
      <c r="B727" t="s">
        <v>2875</v>
      </c>
      <c r="C727" t="s">
        <v>2876</v>
      </c>
      <c r="D727" t="s">
        <v>2284</v>
      </c>
      <c r="E727" t="s">
        <v>2285</v>
      </c>
      <c r="F727" t="s">
        <v>2877</v>
      </c>
      <c r="G727" t="s">
        <v>2878</v>
      </c>
      <c r="H727">
        <v>0</v>
      </c>
      <c r="I727">
        <v>250</v>
      </c>
      <c r="J727">
        <v>0</v>
      </c>
      <c r="K727">
        <v>0</v>
      </c>
      <c r="L727">
        <v>0</v>
      </c>
      <c r="M727">
        <v>250</v>
      </c>
      <c r="N727">
        <v>0</v>
      </c>
      <c r="O727">
        <v>0</v>
      </c>
    </row>
    <row r="728" spans="1:15" x14ac:dyDescent="0.3">
      <c r="A728" t="s">
        <v>2288</v>
      </c>
      <c r="B728" t="s">
        <v>2879</v>
      </c>
      <c r="C728" t="s">
        <v>2880</v>
      </c>
      <c r="D728" t="s">
        <v>2284</v>
      </c>
      <c r="E728" t="s">
        <v>2285</v>
      </c>
      <c r="F728" t="s">
        <v>2881</v>
      </c>
      <c r="G728" t="s">
        <v>2882</v>
      </c>
      <c r="H728">
        <v>0</v>
      </c>
      <c r="I728">
        <v>250</v>
      </c>
      <c r="J728">
        <v>0</v>
      </c>
      <c r="K728">
        <v>0</v>
      </c>
      <c r="L728">
        <v>0</v>
      </c>
      <c r="M728">
        <v>250</v>
      </c>
      <c r="N728">
        <v>0</v>
      </c>
      <c r="O728">
        <v>0</v>
      </c>
    </row>
    <row r="729" spans="1:15" x14ac:dyDescent="0.3">
      <c r="A729" t="s">
        <v>2288</v>
      </c>
      <c r="B729" t="s">
        <v>2883</v>
      </c>
      <c r="C729" t="s">
        <v>2884</v>
      </c>
      <c r="D729" t="s">
        <v>2284</v>
      </c>
      <c r="E729" t="s">
        <v>2285</v>
      </c>
      <c r="F729" t="s">
        <v>2885</v>
      </c>
      <c r="G729">
        <f>255763932907 / 763932906</f>
        <v>334.79894752301715</v>
      </c>
      <c r="H729">
        <v>0</v>
      </c>
      <c r="I729">
        <v>250</v>
      </c>
      <c r="J729">
        <v>0</v>
      </c>
      <c r="K729">
        <v>0</v>
      </c>
      <c r="L729">
        <v>0</v>
      </c>
      <c r="M729">
        <v>250</v>
      </c>
      <c r="N729">
        <v>0</v>
      </c>
      <c r="O729">
        <v>0</v>
      </c>
    </row>
    <row r="730" spans="1:15" x14ac:dyDescent="0.3">
      <c r="A730" t="s">
        <v>2288</v>
      </c>
      <c r="B730" t="s">
        <v>2886</v>
      </c>
      <c r="C730" t="s">
        <v>2887</v>
      </c>
      <c r="D730" t="s">
        <v>2284</v>
      </c>
      <c r="E730" t="s">
        <v>2285</v>
      </c>
      <c r="F730" t="s">
        <v>2888</v>
      </c>
      <c r="G730" t="s">
        <v>2889</v>
      </c>
      <c r="H730">
        <v>0</v>
      </c>
      <c r="I730">
        <v>606</v>
      </c>
      <c r="J730">
        <v>74967</v>
      </c>
      <c r="K730">
        <v>0</v>
      </c>
      <c r="L730">
        <v>0</v>
      </c>
      <c r="M730">
        <v>606</v>
      </c>
      <c r="N730">
        <v>0</v>
      </c>
      <c r="O730">
        <v>0</v>
      </c>
    </row>
    <row r="731" spans="1:15" x14ac:dyDescent="0.3">
      <c r="A731" t="s">
        <v>2288</v>
      </c>
      <c r="B731" t="s">
        <v>2890</v>
      </c>
      <c r="C731" t="s">
        <v>2891</v>
      </c>
      <c r="D731" t="s">
        <v>2284</v>
      </c>
      <c r="E731" t="s">
        <v>2285</v>
      </c>
      <c r="F731" t="s">
        <v>2892</v>
      </c>
      <c r="G731" t="s">
        <v>2893</v>
      </c>
      <c r="H731">
        <v>0</v>
      </c>
      <c r="I731">
        <v>250</v>
      </c>
      <c r="J731">
        <v>0</v>
      </c>
      <c r="K731">
        <v>0</v>
      </c>
      <c r="L731">
        <v>0</v>
      </c>
      <c r="M731">
        <v>250</v>
      </c>
      <c r="N731">
        <v>0</v>
      </c>
      <c r="O731">
        <v>0</v>
      </c>
    </row>
    <row r="732" spans="1:15" x14ac:dyDescent="0.3">
      <c r="A732" t="s">
        <v>2288</v>
      </c>
      <c r="B732" t="s">
        <v>2894</v>
      </c>
      <c r="C732" t="s">
        <v>2895</v>
      </c>
      <c r="D732" t="s">
        <v>2284</v>
      </c>
      <c r="E732" t="s">
        <v>2285</v>
      </c>
      <c r="F732" t="s">
        <v>2896</v>
      </c>
      <c r="G732">
        <f>255785599599 / 255785599599</f>
        <v>1</v>
      </c>
      <c r="H732">
        <v>0</v>
      </c>
      <c r="I732">
        <v>640</v>
      </c>
      <c r="J732">
        <v>0</v>
      </c>
      <c r="K732">
        <v>375</v>
      </c>
      <c r="L732">
        <v>0</v>
      </c>
      <c r="M732">
        <v>640</v>
      </c>
      <c r="N732">
        <v>0</v>
      </c>
      <c r="O732">
        <v>0</v>
      </c>
    </row>
    <row r="733" spans="1:15" x14ac:dyDescent="0.3">
      <c r="A733" t="s">
        <v>2288</v>
      </c>
      <c r="B733" t="s">
        <v>2897</v>
      </c>
      <c r="C733" t="s">
        <v>2898</v>
      </c>
      <c r="D733" t="s">
        <v>2284</v>
      </c>
      <c r="E733" t="s">
        <v>2285</v>
      </c>
      <c r="F733" t="s">
        <v>2899</v>
      </c>
      <c r="G733" t="s">
        <v>2900</v>
      </c>
      <c r="H733">
        <v>0</v>
      </c>
      <c r="I733">
        <v>250</v>
      </c>
      <c r="J733">
        <v>0</v>
      </c>
      <c r="K733">
        <v>750</v>
      </c>
      <c r="L733">
        <v>0</v>
      </c>
      <c r="M733">
        <v>250</v>
      </c>
      <c r="N733">
        <v>0</v>
      </c>
      <c r="O733">
        <v>0</v>
      </c>
    </row>
    <row r="734" spans="1:15" x14ac:dyDescent="0.3">
      <c r="A734" t="s">
        <v>2288</v>
      </c>
      <c r="B734" t="s">
        <v>2901</v>
      </c>
      <c r="C734" t="s">
        <v>2902</v>
      </c>
      <c r="D734" t="s">
        <v>2284</v>
      </c>
      <c r="E734" t="s">
        <v>2285</v>
      </c>
      <c r="F734" t="s">
        <v>2903</v>
      </c>
      <c r="G734" t="s">
        <v>2904</v>
      </c>
      <c r="H734">
        <v>0</v>
      </c>
      <c r="I734">
        <v>250</v>
      </c>
      <c r="J734">
        <v>0</v>
      </c>
      <c r="K734">
        <v>0</v>
      </c>
      <c r="L734">
        <v>0</v>
      </c>
      <c r="M734">
        <v>250</v>
      </c>
      <c r="N734">
        <v>0</v>
      </c>
      <c r="O734">
        <v>0</v>
      </c>
    </row>
    <row r="735" spans="1:15" x14ac:dyDescent="0.3">
      <c r="A735" t="s">
        <v>2288</v>
      </c>
      <c r="B735" t="s">
        <v>2905</v>
      </c>
      <c r="C735" t="s">
        <v>2906</v>
      </c>
      <c r="D735" t="s">
        <v>2284</v>
      </c>
      <c r="E735" t="s">
        <v>2285</v>
      </c>
      <c r="F735" t="s">
        <v>2907</v>
      </c>
      <c r="G735" t="s">
        <v>2908</v>
      </c>
      <c r="H735">
        <v>0</v>
      </c>
      <c r="I735">
        <v>1769</v>
      </c>
      <c r="J735">
        <v>4750</v>
      </c>
      <c r="K735">
        <v>4783</v>
      </c>
      <c r="L735">
        <v>0</v>
      </c>
      <c r="M735">
        <v>724</v>
      </c>
      <c r="N735">
        <v>0</v>
      </c>
      <c r="O735">
        <v>0</v>
      </c>
    </row>
    <row r="736" spans="1:15" x14ac:dyDescent="0.3">
      <c r="A736" t="s">
        <v>2288</v>
      </c>
      <c r="B736" t="s">
        <v>2909</v>
      </c>
      <c r="C736" t="s">
        <v>2910</v>
      </c>
      <c r="D736" t="s">
        <v>2284</v>
      </c>
      <c r="E736" t="s">
        <v>2285</v>
      </c>
      <c r="F736" t="s">
        <v>2911</v>
      </c>
      <c r="G736" t="s">
        <v>2912</v>
      </c>
      <c r="H736">
        <v>980</v>
      </c>
      <c r="I736">
        <v>642</v>
      </c>
      <c r="J736">
        <v>7415</v>
      </c>
      <c r="K736">
        <v>1022</v>
      </c>
      <c r="L736">
        <v>0</v>
      </c>
      <c r="M736">
        <v>642</v>
      </c>
      <c r="N736">
        <v>392</v>
      </c>
      <c r="O736">
        <v>0</v>
      </c>
    </row>
    <row r="737" spans="1:15" x14ac:dyDescent="0.3">
      <c r="A737" t="s">
        <v>2288</v>
      </c>
      <c r="B737" t="s">
        <v>2913</v>
      </c>
      <c r="C737" t="s">
        <v>2914</v>
      </c>
      <c r="D737" t="s">
        <v>2284</v>
      </c>
      <c r="E737" t="s">
        <v>2285</v>
      </c>
      <c r="F737" t="s">
        <v>2915</v>
      </c>
      <c r="G737" t="s">
        <v>2916</v>
      </c>
      <c r="H737">
        <v>0</v>
      </c>
      <c r="I737">
        <v>2757</v>
      </c>
      <c r="J737">
        <v>838</v>
      </c>
      <c r="K737">
        <v>1032</v>
      </c>
      <c r="L737">
        <v>0</v>
      </c>
      <c r="M737">
        <v>2499</v>
      </c>
      <c r="N737">
        <v>235</v>
      </c>
      <c r="O737">
        <v>0</v>
      </c>
    </row>
    <row r="738" spans="1:15" x14ac:dyDescent="0.3">
      <c r="A738" t="s">
        <v>2288</v>
      </c>
      <c r="B738" t="s">
        <v>2917</v>
      </c>
      <c r="C738" t="s">
        <v>2918</v>
      </c>
      <c r="D738" t="s">
        <v>2284</v>
      </c>
      <c r="E738" t="s">
        <v>2285</v>
      </c>
      <c r="F738" t="s">
        <v>2919</v>
      </c>
      <c r="G738" t="s">
        <v>2920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3">
      <c r="A739" t="s">
        <v>2288</v>
      </c>
      <c r="B739" t="s">
        <v>2921</v>
      </c>
      <c r="C739" t="s">
        <v>2922</v>
      </c>
      <c r="D739" t="s">
        <v>2284</v>
      </c>
      <c r="E739" t="s">
        <v>2285</v>
      </c>
      <c r="F739" t="s">
        <v>2923</v>
      </c>
      <c r="G739" t="s">
        <v>2924</v>
      </c>
      <c r="H739">
        <v>720</v>
      </c>
      <c r="I739">
        <v>510</v>
      </c>
      <c r="J739">
        <v>8242</v>
      </c>
      <c r="K739">
        <v>2565</v>
      </c>
      <c r="L739">
        <v>0</v>
      </c>
      <c r="M739">
        <v>250</v>
      </c>
      <c r="N739">
        <v>0</v>
      </c>
      <c r="O739">
        <v>0</v>
      </c>
    </row>
    <row r="740" spans="1:15" x14ac:dyDescent="0.3">
      <c r="A740" t="s">
        <v>2288</v>
      </c>
      <c r="B740" t="s">
        <v>2925</v>
      </c>
      <c r="C740" t="s">
        <v>2926</v>
      </c>
      <c r="D740" t="s">
        <v>2284</v>
      </c>
      <c r="E740" t="s">
        <v>2285</v>
      </c>
      <c r="F740" t="s">
        <v>2927</v>
      </c>
      <c r="G740" t="s">
        <v>2928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3">
      <c r="A741" t="s">
        <v>2288</v>
      </c>
      <c r="B741" t="s">
        <v>2929</v>
      </c>
      <c r="C741" t="s">
        <v>2930</v>
      </c>
      <c r="D741" t="s">
        <v>2284</v>
      </c>
      <c r="E741" t="s">
        <v>2285</v>
      </c>
      <c r="F741" t="s">
        <v>2931</v>
      </c>
      <c r="G741" t="s">
        <v>2932</v>
      </c>
      <c r="H741">
        <v>3512</v>
      </c>
      <c r="I741">
        <v>1118</v>
      </c>
      <c r="J741">
        <v>884</v>
      </c>
      <c r="K741">
        <v>0</v>
      </c>
      <c r="L741">
        <v>0</v>
      </c>
      <c r="M741">
        <v>250</v>
      </c>
      <c r="N741">
        <v>0</v>
      </c>
      <c r="O741">
        <v>0</v>
      </c>
    </row>
    <row r="742" spans="1:15" x14ac:dyDescent="0.3">
      <c r="A742" t="s">
        <v>2288</v>
      </c>
      <c r="B742" t="s">
        <v>2933</v>
      </c>
      <c r="C742" t="s">
        <v>2934</v>
      </c>
      <c r="D742" t="s">
        <v>2284</v>
      </c>
      <c r="E742" t="s">
        <v>2285</v>
      </c>
      <c r="F742" t="s">
        <v>2935</v>
      </c>
      <c r="G742" t="s">
        <v>2936</v>
      </c>
      <c r="H742">
        <v>0</v>
      </c>
      <c r="I742">
        <v>450</v>
      </c>
      <c r="J742">
        <v>0</v>
      </c>
      <c r="K742">
        <v>3726</v>
      </c>
      <c r="L742">
        <v>0</v>
      </c>
      <c r="M742">
        <v>450</v>
      </c>
      <c r="N742">
        <v>200</v>
      </c>
      <c r="O742">
        <v>0</v>
      </c>
    </row>
    <row r="743" spans="1:15" x14ac:dyDescent="0.3">
      <c r="A743" t="s">
        <v>2288</v>
      </c>
      <c r="B743" t="s">
        <v>2937</v>
      </c>
      <c r="C743" t="s">
        <v>2938</v>
      </c>
      <c r="D743" t="s">
        <v>2284</v>
      </c>
      <c r="E743" t="s">
        <v>2285</v>
      </c>
      <c r="F743" t="s">
        <v>2939</v>
      </c>
      <c r="G743" t="s">
        <v>2940</v>
      </c>
      <c r="H743">
        <v>0</v>
      </c>
      <c r="I743">
        <v>250</v>
      </c>
      <c r="J743">
        <v>0</v>
      </c>
      <c r="K743">
        <v>0</v>
      </c>
      <c r="L743">
        <v>0</v>
      </c>
      <c r="M743">
        <v>250</v>
      </c>
      <c r="N743">
        <v>0</v>
      </c>
      <c r="O743">
        <v>0</v>
      </c>
    </row>
    <row r="744" spans="1:15" x14ac:dyDescent="0.3">
      <c r="A744" t="s">
        <v>2288</v>
      </c>
      <c r="B744" t="s">
        <v>2941</v>
      </c>
      <c r="C744" t="s">
        <v>2942</v>
      </c>
      <c r="D744" t="s">
        <v>2284</v>
      </c>
      <c r="E744" t="s">
        <v>2285</v>
      </c>
      <c r="F744" t="s">
        <v>2943</v>
      </c>
      <c r="G744" t="s">
        <v>2944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3">
      <c r="A745" t="s">
        <v>2288</v>
      </c>
      <c r="B745" t="s">
        <v>2945</v>
      </c>
      <c r="C745" t="s">
        <v>2946</v>
      </c>
      <c r="D745" t="s">
        <v>2284</v>
      </c>
      <c r="E745" t="s">
        <v>2285</v>
      </c>
      <c r="F745" t="s">
        <v>2947</v>
      </c>
      <c r="G745" t="s">
        <v>2948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3">
      <c r="A746" t="s">
        <v>2288</v>
      </c>
      <c r="B746" t="s">
        <v>2949</v>
      </c>
      <c r="C746" t="s">
        <v>2950</v>
      </c>
      <c r="D746" t="s">
        <v>2284</v>
      </c>
      <c r="E746" t="s">
        <v>2285</v>
      </c>
      <c r="F746" t="s">
        <v>2951</v>
      </c>
      <c r="G746">
        <f>255765435363 / 222762015</f>
        <v>1148.155511894611</v>
      </c>
      <c r="H746">
        <v>0</v>
      </c>
      <c r="I746">
        <v>980</v>
      </c>
      <c r="J746">
        <v>0</v>
      </c>
      <c r="K746">
        <v>0</v>
      </c>
      <c r="L746">
        <v>0</v>
      </c>
      <c r="M746">
        <v>980</v>
      </c>
      <c r="N746">
        <v>0</v>
      </c>
      <c r="O746">
        <v>0</v>
      </c>
    </row>
    <row r="747" spans="1:15" x14ac:dyDescent="0.3">
      <c r="A747" t="s">
        <v>2288</v>
      </c>
      <c r="B747" t="s">
        <v>2952</v>
      </c>
      <c r="C747" t="s">
        <v>2953</v>
      </c>
      <c r="D747" t="s">
        <v>2284</v>
      </c>
      <c r="E747" t="s">
        <v>2285</v>
      </c>
      <c r="F747" t="s">
        <v>2954</v>
      </c>
      <c r="G747" t="s">
        <v>2955</v>
      </c>
      <c r="H747">
        <v>0</v>
      </c>
      <c r="I747">
        <v>250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3">
      <c r="A748" t="s">
        <v>2288</v>
      </c>
      <c r="B748" t="s">
        <v>2956</v>
      </c>
      <c r="C748" t="s">
        <v>2957</v>
      </c>
      <c r="D748" t="s">
        <v>2284</v>
      </c>
      <c r="E748" t="s">
        <v>2285</v>
      </c>
      <c r="F748" t="s">
        <v>2958</v>
      </c>
      <c r="G748" t="s">
        <v>2959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3">
      <c r="A749" t="s">
        <v>2288</v>
      </c>
      <c r="B749" t="s">
        <v>2960</v>
      </c>
      <c r="C749" t="s">
        <v>2961</v>
      </c>
      <c r="D749" t="s">
        <v>2284</v>
      </c>
      <c r="E749" t="s">
        <v>2285</v>
      </c>
      <c r="F749" t="s">
        <v>2962</v>
      </c>
      <c r="G749" t="s">
        <v>2963</v>
      </c>
      <c r="H749">
        <v>0</v>
      </c>
      <c r="I749">
        <v>250</v>
      </c>
      <c r="J749">
        <v>137</v>
      </c>
      <c r="K749">
        <v>1240</v>
      </c>
      <c r="L749">
        <v>0</v>
      </c>
      <c r="M749">
        <v>250</v>
      </c>
      <c r="N749">
        <v>0</v>
      </c>
      <c r="O749">
        <v>0</v>
      </c>
    </row>
    <row r="750" spans="1:15" x14ac:dyDescent="0.3">
      <c r="A750" t="s">
        <v>2288</v>
      </c>
      <c r="B750" t="s">
        <v>2964</v>
      </c>
      <c r="C750" t="s">
        <v>2965</v>
      </c>
      <c r="D750" t="s">
        <v>2284</v>
      </c>
      <c r="E750" t="s">
        <v>2285</v>
      </c>
      <c r="F750" t="s">
        <v>2966</v>
      </c>
      <c r="G750" t="s">
        <v>2967</v>
      </c>
      <c r="H750">
        <v>0</v>
      </c>
      <c r="I750">
        <v>250</v>
      </c>
      <c r="J750">
        <v>0</v>
      </c>
      <c r="K750">
        <v>0</v>
      </c>
      <c r="L750">
        <v>0</v>
      </c>
      <c r="M750">
        <v>250</v>
      </c>
      <c r="N750">
        <v>0</v>
      </c>
      <c r="O750">
        <v>0</v>
      </c>
    </row>
    <row r="751" spans="1:15" x14ac:dyDescent="0.3">
      <c r="A751" t="s">
        <v>2288</v>
      </c>
      <c r="B751" t="s">
        <v>2968</v>
      </c>
      <c r="C751" t="s">
        <v>2969</v>
      </c>
      <c r="D751" t="s">
        <v>2284</v>
      </c>
      <c r="E751" t="s">
        <v>2285</v>
      </c>
      <c r="F751" t="s">
        <v>2970</v>
      </c>
      <c r="G751" t="s">
        <v>2971</v>
      </c>
      <c r="H751">
        <v>0</v>
      </c>
      <c r="I751">
        <v>250</v>
      </c>
      <c r="J751">
        <v>0</v>
      </c>
      <c r="K751">
        <v>424</v>
      </c>
      <c r="L751">
        <v>0</v>
      </c>
      <c r="M751">
        <v>250</v>
      </c>
      <c r="N751">
        <v>0</v>
      </c>
      <c r="O751">
        <v>0</v>
      </c>
    </row>
    <row r="752" spans="1:15" x14ac:dyDescent="0.3">
      <c r="A752" t="s">
        <v>2288</v>
      </c>
      <c r="B752" t="s">
        <v>2972</v>
      </c>
      <c r="C752" t="s">
        <v>2973</v>
      </c>
      <c r="D752" t="s">
        <v>2284</v>
      </c>
      <c r="E752" t="s">
        <v>2285</v>
      </c>
      <c r="F752" t="s">
        <v>2974</v>
      </c>
      <c r="G752" t="s">
        <v>2975</v>
      </c>
      <c r="H752">
        <v>438</v>
      </c>
      <c r="I752">
        <v>6259</v>
      </c>
      <c r="J752">
        <v>7032</v>
      </c>
      <c r="K752">
        <v>0</v>
      </c>
      <c r="L752">
        <v>0</v>
      </c>
      <c r="M752">
        <v>5526</v>
      </c>
      <c r="N752">
        <v>0</v>
      </c>
      <c r="O752">
        <v>0</v>
      </c>
    </row>
    <row r="753" spans="1:15" x14ac:dyDescent="0.3">
      <c r="A753" t="s">
        <v>2288</v>
      </c>
      <c r="B753" t="s">
        <v>2976</v>
      </c>
      <c r="C753" t="s">
        <v>2977</v>
      </c>
      <c r="D753" t="s">
        <v>2284</v>
      </c>
      <c r="E753" t="s">
        <v>2285</v>
      </c>
      <c r="F753" t="s">
        <v>2978</v>
      </c>
      <c r="G753" t="s">
        <v>2979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 x14ac:dyDescent="0.3">
      <c r="A754" t="s">
        <v>2288</v>
      </c>
      <c r="B754" t="s">
        <v>2980</v>
      </c>
      <c r="C754" t="s">
        <v>2981</v>
      </c>
      <c r="D754" t="s">
        <v>2284</v>
      </c>
      <c r="E754" t="s">
        <v>2285</v>
      </c>
      <c r="F754" t="s">
        <v>2982</v>
      </c>
      <c r="G754" t="s">
        <v>2983</v>
      </c>
      <c r="H754">
        <v>0</v>
      </c>
      <c r="I754">
        <v>250</v>
      </c>
      <c r="J754">
        <v>0</v>
      </c>
      <c r="K754">
        <v>0</v>
      </c>
      <c r="L754">
        <v>0</v>
      </c>
      <c r="M754">
        <v>250</v>
      </c>
      <c r="N754">
        <v>0</v>
      </c>
      <c r="O754">
        <v>0</v>
      </c>
    </row>
    <row r="755" spans="1:15" x14ac:dyDescent="0.3">
      <c r="A755" t="s">
        <v>2288</v>
      </c>
      <c r="B755" t="s">
        <v>2984</v>
      </c>
      <c r="C755" t="s">
        <v>2985</v>
      </c>
      <c r="D755" t="s">
        <v>2284</v>
      </c>
      <c r="E755" t="s">
        <v>2285</v>
      </c>
      <c r="F755" t="s">
        <v>2986</v>
      </c>
      <c r="G755" t="s">
        <v>2987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 x14ac:dyDescent="0.3">
      <c r="A756" t="s">
        <v>2288</v>
      </c>
      <c r="B756" t="s">
        <v>2988</v>
      </c>
      <c r="C756" t="s">
        <v>2989</v>
      </c>
      <c r="D756" t="s">
        <v>2284</v>
      </c>
      <c r="E756" t="s">
        <v>2285</v>
      </c>
      <c r="F756" t="s">
        <v>2990</v>
      </c>
      <c r="G756" t="s">
        <v>2991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 x14ac:dyDescent="0.3">
      <c r="A757" t="s">
        <v>2288</v>
      </c>
      <c r="B757" t="s">
        <v>2992</v>
      </c>
      <c r="C757" t="s">
        <v>2993</v>
      </c>
      <c r="D757" t="s">
        <v>2284</v>
      </c>
      <c r="E757" t="s">
        <v>2285</v>
      </c>
      <c r="F757" t="s">
        <v>2994</v>
      </c>
      <c r="G757" t="s">
        <v>2995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 x14ac:dyDescent="0.3">
      <c r="A758" t="s">
        <v>2288</v>
      </c>
      <c r="B758" t="s">
        <v>2996</v>
      </c>
      <c r="C758" t="s">
        <v>2997</v>
      </c>
      <c r="D758" t="s">
        <v>2284</v>
      </c>
      <c r="E758" t="s">
        <v>2285</v>
      </c>
      <c r="F758" t="s">
        <v>2998</v>
      </c>
      <c r="G758" t="s">
        <v>2999</v>
      </c>
      <c r="H758">
        <v>0</v>
      </c>
      <c r="I758">
        <v>250</v>
      </c>
      <c r="J758">
        <v>0</v>
      </c>
      <c r="K758">
        <v>0</v>
      </c>
      <c r="L758">
        <v>0</v>
      </c>
      <c r="M758">
        <v>250</v>
      </c>
      <c r="N758">
        <v>0</v>
      </c>
      <c r="O758">
        <v>0</v>
      </c>
    </row>
    <row r="759" spans="1:15" x14ac:dyDescent="0.3">
      <c r="A759" t="s">
        <v>2288</v>
      </c>
      <c r="B759" t="s">
        <v>3000</v>
      </c>
      <c r="C759" t="s">
        <v>3001</v>
      </c>
      <c r="D759" t="s">
        <v>2284</v>
      </c>
      <c r="E759" t="s">
        <v>2285</v>
      </c>
      <c r="F759" t="s">
        <v>3002</v>
      </c>
      <c r="G759" t="s">
        <v>3003</v>
      </c>
      <c r="H759">
        <v>3511</v>
      </c>
      <c r="I759">
        <v>31233</v>
      </c>
      <c r="J759">
        <v>9214</v>
      </c>
      <c r="K759">
        <v>20140</v>
      </c>
      <c r="L759">
        <v>0</v>
      </c>
      <c r="M759">
        <v>18638</v>
      </c>
      <c r="N759">
        <v>1696</v>
      </c>
      <c r="O759">
        <v>0</v>
      </c>
    </row>
    <row r="760" spans="1:15" x14ac:dyDescent="0.3">
      <c r="A760" t="s">
        <v>2288</v>
      </c>
      <c r="B760" t="s">
        <v>3004</v>
      </c>
      <c r="C760" t="s">
        <v>3005</v>
      </c>
      <c r="D760" t="s">
        <v>2284</v>
      </c>
      <c r="E760" t="s">
        <v>2285</v>
      </c>
      <c r="F760" t="s">
        <v>3006</v>
      </c>
      <c r="G760" t="s">
        <v>3007</v>
      </c>
      <c r="H760">
        <v>0</v>
      </c>
      <c r="I760">
        <v>250</v>
      </c>
      <c r="J760">
        <v>0</v>
      </c>
      <c r="K760">
        <v>0</v>
      </c>
      <c r="L760">
        <v>0</v>
      </c>
      <c r="M760">
        <v>250</v>
      </c>
      <c r="N760">
        <v>0</v>
      </c>
      <c r="O760">
        <v>0</v>
      </c>
    </row>
    <row r="761" spans="1:15" x14ac:dyDescent="0.3">
      <c r="A761" t="s">
        <v>2288</v>
      </c>
      <c r="B761" t="s">
        <v>3008</v>
      </c>
      <c r="C761" t="s">
        <v>3009</v>
      </c>
      <c r="D761" t="s">
        <v>2284</v>
      </c>
      <c r="E761" t="s">
        <v>2285</v>
      </c>
      <c r="F761" t="s">
        <v>3010</v>
      </c>
      <c r="G761" t="s">
        <v>3011</v>
      </c>
      <c r="H761">
        <v>0</v>
      </c>
      <c r="I761">
        <v>250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3">
      <c r="A762" t="s">
        <v>2288</v>
      </c>
      <c r="B762" t="s">
        <v>3012</v>
      </c>
      <c r="C762" t="s">
        <v>3013</v>
      </c>
      <c r="D762" t="s">
        <v>2284</v>
      </c>
      <c r="E762" t="s">
        <v>2285</v>
      </c>
      <c r="F762" t="s">
        <v>3014</v>
      </c>
      <c r="G762" t="s">
        <v>3015</v>
      </c>
      <c r="H762">
        <v>0</v>
      </c>
      <c r="I762">
        <v>250</v>
      </c>
      <c r="J762">
        <v>0</v>
      </c>
      <c r="K762">
        <v>0</v>
      </c>
      <c r="L762">
        <v>0</v>
      </c>
      <c r="M762">
        <v>250</v>
      </c>
      <c r="N762">
        <v>0</v>
      </c>
      <c r="O762">
        <v>0</v>
      </c>
    </row>
    <row r="763" spans="1:15" x14ac:dyDescent="0.3">
      <c r="A763" t="s">
        <v>2288</v>
      </c>
      <c r="B763" t="s">
        <v>3016</v>
      </c>
      <c r="C763" t="s">
        <v>3017</v>
      </c>
      <c r="D763" t="s">
        <v>2284</v>
      </c>
      <c r="E763" t="s">
        <v>2285</v>
      </c>
      <c r="F763" t="s">
        <v>3018</v>
      </c>
      <c r="G763" t="s">
        <v>3019</v>
      </c>
      <c r="H763">
        <v>0</v>
      </c>
      <c r="I763">
        <v>250</v>
      </c>
      <c r="J763">
        <v>0</v>
      </c>
      <c r="K763">
        <v>0</v>
      </c>
      <c r="L763">
        <v>0</v>
      </c>
      <c r="M763">
        <v>250</v>
      </c>
      <c r="N763">
        <v>0</v>
      </c>
      <c r="O763">
        <v>0</v>
      </c>
    </row>
    <row r="764" spans="1:15" x14ac:dyDescent="0.3">
      <c r="A764" t="s">
        <v>2288</v>
      </c>
      <c r="B764" t="s">
        <v>3020</v>
      </c>
      <c r="C764" t="s">
        <v>3021</v>
      </c>
      <c r="D764" t="s">
        <v>2284</v>
      </c>
      <c r="E764" t="s">
        <v>2285</v>
      </c>
      <c r="F764" t="s">
        <v>3022</v>
      </c>
      <c r="G764" t="s">
        <v>3023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 x14ac:dyDescent="0.3">
      <c r="A765" t="s">
        <v>2288</v>
      </c>
      <c r="B765" t="s">
        <v>3024</v>
      </c>
      <c r="C765" t="s">
        <v>3025</v>
      </c>
      <c r="D765" t="s">
        <v>2284</v>
      </c>
      <c r="E765" t="s">
        <v>2285</v>
      </c>
      <c r="F765" t="s">
        <v>3026</v>
      </c>
      <c r="G765" t="s">
        <v>3027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x14ac:dyDescent="0.3">
      <c r="A766" t="s">
        <v>2288</v>
      </c>
      <c r="B766" t="s">
        <v>3028</v>
      </c>
      <c r="C766" t="s">
        <v>3029</v>
      </c>
      <c r="D766" t="s">
        <v>2284</v>
      </c>
      <c r="E766" t="s">
        <v>2285</v>
      </c>
      <c r="F766" t="s">
        <v>3030</v>
      </c>
      <c r="G766" t="s">
        <v>3031</v>
      </c>
      <c r="H766">
        <v>0</v>
      </c>
      <c r="I766">
        <v>250</v>
      </c>
      <c r="J766">
        <v>0</v>
      </c>
      <c r="K766">
        <v>0</v>
      </c>
      <c r="L766">
        <v>0</v>
      </c>
      <c r="M766">
        <v>250</v>
      </c>
      <c r="N766">
        <v>0</v>
      </c>
      <c r="O766">
        <v>0</v>
      </c>
    </row>
    <row r="767" spans="1:15" x14ac:dyDescent="0.3">
      <c r="A767" t="s">
        <v>2288</v>
      </c>
      <c r="B767" t="s">
        <v>3032</v>
      </c>
      <c r="C767" t="s">
        <v>3033</v>
      </c>
      <c r="D767" t="s">
        <v>2284</v>
      </c>
      <c r="E767" t="s">
        <v>2285</v>
      </c>
      <c r="F767" t="s">
        <v>3034</v>
      </c>
      <c r="G767" t="s">
        <v>3035</v>
      </c>
      <c r="H767">
        <v>0</v>
      </c>
      <c r="I767">
        <v>250</v>
      </c>
      <c r="J767">
        <v>0</v>
      </c>
      <c r="K767">
        <v>3858</v>
      </c>
      <c r="L767">
        <v>0</v>
      </c>
      <c r="M767">
        <v>250</v>
      </c>
      <c r="N767">
        <v>0</v>
      </c>
      <c r="O767">
        <v>0</v>
      </c>
    </row>
    <row r="768" spans="1:15" x14ac:dyDescent="0.3">
      <c r="A768" t="s">
        <v>2288</v>
      </c>
      <c r="B768" t="s">
        <v>3036</v>
      </c>
      <c r="C768" t="s">
        <v>3037</v>
      </c>
      <c r="D768" t="s">
        <v>2284</v>
      </c>
      <c r="E768" t="s">
        <v>2285</v>
      </c>
      <c r="F768" t="s">
        <v>3038</v>
      </c>
      <c r="G768" t="s">
        <v>3039</v>
      </c>
      <c r="H768">
        <v>0</v>
      </c>
      <c r="I768">
        <v>250</v>
      </c>
      <c r="J768">
        <v>0</v>
      </c>
      <c r="K768">
        <v>0</v>
      </c>
      <c r="L768">
        <v>0</v>
      </c>
      <c r="M768">
        <v>250</v>
      </c>
      <c r="N768">
        <v>0</v>
      </c>
      <c r="O768">
        <v>0</v>
      </c>
    </row>
    <row r="769" spans="1:15" x14ac:dyDescent="0.3">
      <c r="A769" t="s">
        <v>2288</v>
      </c>
      <c r="B769" t="s">
        <v>3040</v>
      </c>
      <c r="C769" t="s">
        <v>3041</v>
      </c>
      <c r="D769" t="s">
        <v>2284</v>
      </c>
      <c r="E769" t="s">
        <v>2285</v>
      </c>
      <c r="F769" t="s">
        <v>3042</v>
      </c>
      <c r="G769" t="s">
        <v>3043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x14ac:dyDescent="0.3">
      <c r="A770" t="s">
        <v>2288</v>
      </c>
      <c r="B770" t="s">
        <v>3044</v>
      </c>
      <c r="C770" t="s">
        <v>3045</v>
      </c>
      <c r="D770" t="s">
        <v>2284</v>
      </c>
      <c r="E770" t="s">
        <v>2285</v>
      </c>
      <c r="F770" t="s">
        <v>3046</v>
      </c>
      <c r="G770" t="s">
        <v>3047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x14ac:dyDescent="0.3">
      <c r="A771" t="s">
        <v>2288</v>
      </c>
      <c r="B771" t="s">
        <v>3048</v>
      </c>
      <c r="C771" t="s">
        <v>3049</v>
      </c>
      <c r="D771" t="s">
        <v>2284</v>
      </c>
      <c r="E771" t="s">
        <v>2285</v>
      </c>
      <c r="F771" t="s">
        <v>3050</v>
      </c>
      <c r="G771" t="s">
        <v>3051</v>
      </c>
      <c r="H771">
        <v>1036</v>
      </c>
      <c r="I771">
        <v>250</v>
      </c>
      <c r="J771">
        <v>59000</v>
      </c>
      <c r="K771">
        <v>915</v>
      </c>
      <c r="L771">
        <v>0</v>
      </c>
      <c r="M771">
        <v>250</v>
      </c>
      <c r="N771">
        <v>0</v>
      </c>
      <c r="O771">
        <v>0</v>
      </c>
    </row>
    <row r="772" spans="1:15" x14ac:dyDescent="0.3">
      <c r="A772" t="s">
        <v>2288</v>
      </c>
      <c r="B772" t="s">
        <v>3052</v>
      </c>
      <c r="C772" t="s">
        <v>3053</v>
      </c>
      <c r="D772" t="s">
        <v>2284</v>
      </c>
      <c r="E772" t="s">
        <v>2285</v>
      </c>
      <c r="F772" t="s">
        <v>3054</v>
      </c>
      <c r="G772" t="s">
        <v>3055</v>
      </c>
      <c r="H772">
        <v>0</v>
      </c>
      <c r="I772">
        <v>250</v>
      </c>
      <c r="J772">
        <v>0</v>
      </c>
      <c r="K772">
        <v>0</v>
      </c>
      <c r="L772">
        <v>0</v>
      </c>
      <c r="M772">
        <v>250</v>
      </c>
      <c r="N772">
        <v>0</v>
      </c>
      <c r="O772">
        <v>0</v>
      </c>
    </row>
    <row r="773" spans="1:15" x14ac:dyDescent="0.3">
      <c r="A773" t="s">
        <v>2288</v>
      </c>
      <c r="B773" t="s">
        <v>3056</v>
      </c>
      <c r="C773" t="s">
        <v>3057</v>
      </c>
      <c r="D773" t="s">
        <v>2284</v>
      </c>
      <c r="E773" t="s">
        <v>2285</v>
      </c>
      <c r="F773" t="s">
        <v>3058</v>
      </c>
      <c r="G773" t="s">
        <v>3059</v>
      </c>
      <c r="H773">
        <v>0</v>
      </c>
      <c r="I773">
        <v>250</v>
      </c>
      <c r="J773">
        <v>0</v>
      </c>
      <c r="K773">
        <v>0</v>
      </c>
      <c r="L773">
        <v>0</v>
      </c>
      <c r="M773">
        <v>250</v>
      </c>
      <c r="N773">
        <v>0</v>
      </c>
      <c r="O773">
        <v>0</v>
      </c>
    </row>
    <row r="774" spans="1:15" x14ac:dyDescent="0.3">
      <c r="A774" t="s">
        <v>2288</v>
      </c>
      <c r="B774" t="s">
        <v>3060</v>
      </c>
      <c r="C774" t="s">
        <v>3061</v>
      </c>
      <c r="D774" t="s">
        <v>2284</v>
      </c>
      <c r="E774" t="s">
        <v>2285</v>
      </c>
      <c r="F774" t="s">
        <v>3062</v>
      </c>
      <c r="G774" t="s">
        <v>3063</v>
      </c>
      <c r="H774">
        <v>0</v>
      </c>
      <c r="I774">
        <v>250</v>
      </c>
      <c r="J774">
        <v>0</v>
      </c>
      <c r="K774">
        <v>0</v>
      </c>
      <c r="L774">
        <v>0</v>
      </c>
      <c r="M774">
        <v>250</v>
      </c>
      <c r="N774">
        <v>0</v>
      </c>
      <c r="O774">
        <v>0</v>
      </c>
    </row>
    <row r="775" spans="1:15" x14ac:dyDescent="0.3">
      <c r="A775" t="s">
        <v>2288</v>
      </c>
      <c r="B775" t="s">
        <v>3064</v>
      </c>
      <c r="C775" t="s">
        <v>3065</v>
      </c>
      <c r="D775" t="s">
        <v>2284</v>
      </c>
      <c r="E775" t="s">
        <v>2285</v>
      </c>
      <c r="F775" t="s">
        <v>3066</v>
      </c>
      <c r="G775" t="s">
        <v>3067</v>
      </c>
      <c r="H775">
        <v>0</v>
      </c>
      <c r="I775">
        <v>250</v>
      </c>
      <c r="J775">
        <v>0</v>
      </c>
      <c r="K775">
        <v>0</v>
      </c>
      <c r="L775">
        <v>0</v>
      </c>
      <c r="M775">
        <v>250</v>
      </c>
      <c r="N775">
        <v>0</v>
      </c>
      <c r="O775">
        <v>0</v>
      </c>
    </row>
    <row r="776" spans="1:15" x14ac:dyDescent="0.3">
      <c r="A776" t="s">
        <v>2288</v>
      </c>
      <c r="B776" t="s">
        <v>3068</v>
      </c>
      <c r="C776" t="s">
        <v>3069</v>
      </c>
      <c r="D776" t="s">
        <v>2284</v>
      </c>
      <c r="E776" t="s">
        <v>2285</v>
      </c>
      <c r="F776" t="s">
        <v>3070</v>
      </c>
      <c r="G776" t="s">
        <v>3071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3">
      <c r="A777" t="s">
        <v>2288</v>
      </c>
      <c r="B777" t="s">
        <v>3072</v>
      </c>
      <c r="C777" t="s">
        <v>3073</v>
      </c>
      <c r="D777" t="s">
        <v>2284</v>
      </c>
      <c r="E777" t="s">
        <v>2285</v>
      </c>
      <c r="F777" t="s">
        <v>3074</v>
      </c>
      <c r="G777">
        <f>255689168694 / 255689168694</f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x14ac:dyDescent="0.3">
      <c r="A778" t="s">
        <v>2288</v>
      </c>
      <c r="B778" t="s">
        <v>3075</v>
      </c>
      <c r="C778" t="s">
        <v>3076</v>
      </c>
      <c r="D778" t="s">
        <v>2284</v>
      </c>
      <c r="E778" t="s">
        <v>2285</v>
      </c>
      <c r="F778" t="s">
        <v>3077</v>
      </c>
      <c r="G778" t="s">
        <v>3078</v>
      </c>
      <c r="H778">
        <v>0</v>
      </c>
      <c r="I778">
        <v>250</v>
      </c>
      <c r="J778">
        <v>0</v>
      </c>
      <c r="K778">
        <v>0</v>
      </c>
      <c r="L778">
        <v>0</v>
      </c>
      <c r="M778">
        <v>250</v>
      </c>
      <c r="N778">
        <v>0</v>
      </c>
      <c r="O778">
        <v>0</v>
      </c>
    </row>
    <row r="779" spans="1:15" x14ac:dyDescent="0.3">
      <c r="A779" t="s">
        <v>2288</v>
      </c>
      <c r="B779" t="s">
        <v>3079</v>
      </c>
      <c r="C779" t="s">
        <v>3080</v>
      </c>
      <c r="D779" t="s">
        <v>2284</v>
      </c>
      <c r="E779" t="s">
        <v>2285</v>
      </c>
      <c r="F779" t="s">
        <v>3081</v>
      </c>
      <c r="G779" t="s">
        <v>3082</v>
      </c>
      <c r="H779">
        <v>0</v>
      </c>
      <c r="I779">
        <v>250</v>
      </c>
      <c r="J779">
        <v>0</v>
      </c>
      <c r="K779">
        <v>0</v>
      </c>
      <c r="L779">
        <v>0</v>
      </c>
      <c r="M779">
        <v>250</v>
      </c>
      <c r="N779">
        <v>0</v>
      </c>
      <c r="O779">
        <v>0</v>
      </c>
    </row>
    <row r="780" spans="1:15" x14ac:dyDescent="0.3">
      <c r="A780" t="s">
        <v>2288</v>
      </c>
      <c r="B780" t="s">
        <v>3083</v>
      </c>
      <c r="C780" t="s">
        <v>3084</v>
      </c>
      <c r="D780" t="s">
        <v>2284</v>
      </c>
      <c r="E780" t="s">
        <v>2285</v>
      </c>
      <c r="F780" t="s">
        <v>3085</v>
      </c>
      <c r="G780" t="s">
        <v>3086</v>
      </c>
      <c r="H780">
        <v>0</v>
      </c>
      <c r="I780">
        <v>1760</v>
      </c>
      <c r="J780">
        <v>0</v>
      </c>
      <c r="K780">
        <v>0</v>
      </c>
      <c r="L780">
        <v>0</v>
      </c>
      <c r="M780">
        <v>1760</v>
      </c>
      <c r="N780">
        <v>450</v>
      </c>
      <c r="O780">
        <v>0</v>
      </c>
    </row>
    <row r="781" spans="1:15" x14ac:dyDescent="0.3">
      <c r="A781" t="s">
        <v>2288</v>
      </c>
      <c r="B781" t="s">
        <v>3087</v>
      </c>
      <c r="C781" t="s">
        <v>3088</v>
      </c>
      <c r="D781" t="s">
        <v>2284</v>
      </c>
      <c r="E781" t="s">
        <v>2285</v>
      </c>
      <c r="F781" t="s">
        <v>3089</v>
      </c>
      <c r="G781" t="s">
        <v>3090</v>
      </c>
      <c r="H781">
        <v>0</v>
      </c>
      <c r="I781">
        <v>250</v>
      </c>
      <c r="J781">
        <v>0</v>
      </c>
      <c r="K781">
        <v>0</v>
      </c>
      <c r="L781">
        <v>0</v>
      </c>
      <c r="M781">
        <v>250</v>
      </c>
      <c r="N781">
        <v>0</v>
      </c>
      <c r="O781">
        <v>0</v>
      </c>
    </row>
    <row r="782" spans="1:15" x14ac:dyDescent="0.3">
      <c r="A782" t="s">
        <v>2288</v>
      </c>
      <c r="B782" t="s">
        <v>3091</v>
      </c>
      <c r="C782" t="s">
        <v>3092</v>
      </c>
      <c r="D782" t="s">
        <v>2284</v>
      </c>
      <c r="E782" t="s">
        <v>2285</v>
      </c>
      <c r="F782" t="s">
        <v>3093</v>
      </c>
      <c r="G782" t="s">
        <v>3094</v>
      </c>
      <c r="H782">
        <v>0</v>
      </c>
      <c r="I782">
        <v>6637</v>
      </c>
      <c r="J782">
        <v>57320</v>
      </c>
      <c r="K782">
        <v>0</v>
      </c>
      <c r="L782">
        <v>83250</v>
      </c>
      <c r="M782">
        <v>6637</v>
      </c>
      <c r="N782">
        <v>0</v>
      </c>
      <c r="O782">
        <v>0</v>
      </c>
    </row>
    <row r="783" spans="1:15" x14ac:dyDescent="0.3">
      <c r="A783" t="s">
        <v>2288</v>
      </c>
      <c r="B783" t="s">
        <v>3095</v>
      </c>
      <c r="C783" t="s">
        <v>3096</v>
      </c>
      <c r="D783" t="s">
        <v>2284</v>
      </c>
      <c r="E783" t="s">
        <v>2285</v>
      </c>
      <c r="F783" t="s">
        <v>3097</v>
      </c>
      <c r="G783" t="s">
        <v>3098</v>
      </c>
      <c r="H783">
        <v>0</v>
      </c>
      <c r="I783">
        <v>250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x14ac:dyDescent="0.3">
      <c r="A784" t="s">
        <v>2288</v>
      </c>
      <c r="B784" t="s">
        <v>3099</v>
      </c>
      <c r="C784" t="s">
        <v>3100</v>
      </c>
      <c r="D784" t="s">
        <v>2284</v>
      </c>
      <c r="E784" t="s">
        <v>2285</v>
      </c>
      <c r="F784" t="s">
        <v>3101</v>
      </c>
      <c r="G784" t="s">
        <v>3102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 x14ac:dyDescent="0.3">
      <c r="A785" t="s">
        <v>2288</v>
      </c>
      <c r="B785" t="s">
        <v>3103</v>
      </c>
      <c r="C785" t="s">
        <v>3104</v>
      </c>
      <c r="D785" t="s">
        <v>2284</v>
      </c>
      <c r="E785" t="s">
        <v>2285</v>
      </c>
      <c r="F785" t="s">
        <v>3105</v>
      </c>
      <c r="G785" t="s">
        <v>3106</v>
      </c>
      <c r="H785">
        <v>530</v>
      </c>
      <c r="I785">
        <v>1246</v>
      </c>
      <c r="J785">
        <v>29324</v>
      </c>
      <c r="K785">
        <v>0</v>
      </c>
      <c r="L785">
        <v>0</v>
      </c>
      <c r="M785">
        <v>1246</v>
      </c>
      <c r="N785">
        <v>0</v>
      </c>
      <c r="O785">
        <v>0</v>
      </c>
    </row>
    <row r="786" spans="1:15" x14ac:dyDescent="0.3">
      <c r="A786" t="s">
        <v>2288</v>
      </c>
      <c r="B786" t="s">
        <v>3107</v>
      </c>
      <c r="C786" t="s">
        <v>3108</v>
      </c>
      <c r="D786" t="s">
        <v>2284</v>
      </c>
      <c r="E786" t="s">
        <v>2285</v>
      </c>
      <c r="F786" t="s">
        <v>3109</v>
      </c>
      <c r="G786" t="s">
        <v>3110</v>
      </c>
      <c r="H786">
        <v>0</v>
      </c>
      <c r="I786">
        <v>250</v>
      </c>
      <c r="J786">
        <v>0</v>
      </c>
      <c r="K786">
        <v>0</v>
      </c>
      <c r="L786">
        <v>0</v>
      </c>
      <c r="M786">
        <v>250</v>
      </c>
      <c r="N786">
        <v>0</v>
      </c>
      <c r="O786">
        <v>0</v>
      </c>
    </row>
    <row r="787" spans="1:15" x14ac:dyDescent="0.3">
      <c r="A787" t="s">
        <v>2288</v>
      </c>
      <c r="B787" t="s">
        <v>3111</v>
      </c>
      <c r="C787" t="s">
        <v>3112</v>
      </c>
      <c r="D787" t="s">
        <v>2284</v>
      </c>
      <c r="E787" t="s">
        <v>2285</v>
      </c>
      <c r="F787" t="s">
        <v>3113</v>
      </c>
      <c r="G787" t="s">
        <v>3114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3">
      <c r="A788" t="s">
        <v>2288</v>
      </c>
      <c r="B788" t="s">
        <v>3115</v>
      </c>
      <c r="C788" t="s">
        <v>3116</v>
      </c>
      <c r="D788" t="s">
        <v>2284</v>
      </c>
      <c r="E788" t="s">
        <v>2285</v>
      </c>
      <c r="F788" t="s">
        <v>3117</v>
      </c>
      <c r="G788" t="s">
        <v>3118</v>
      </c>
      <c r="H788">
        <v>0</v>
      </c>
      <c r="I788">
        <v>250</v>
      </c>
      <c r="J788">
        <v>0</v>
      </c>
      <c r="K788">
        <v>0</v>
      </c>
      <c r="L788">
        <v>0</v>
      </c>
      <c r="M788">
        <v>250</v>
      </c>
      <c r="N788">
        <v>0</v>
      </c>
      <c r="O788">
        <v>0</v>
      </c>
    </row>
    <row r="789" spans="1:15" x14ac:dyDescent="0.3">
      <c r="A789" t="s">
        <v>2288</v>
      </c>
      <c r="B789" t="s">
        <v>3119</v>
      </c>
      <c r="C789" t="s">
        <v>3120</v>
      </c>
      <c r="D789" t="s">
        <v>2284</v>
      </c>
      <c r="E789" t="s">
        <v>2285</v>
      </c>
      <c r="F789" t="s">
        <v>3121</v>
      </c>
      <c r="G789" t="s">
        <v>3122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 x14ac:dyDescent="0.3">
      <c r="A790" t="s">
        <v>2288</v>
      </c>
      <c r="B790" t="s">
        <v>3123</v>
      </c>
      <c r="C790" t="s">
        <v>3124</v>
      </c>
      <c r="D790" t="s">
        <v>2284</v>
      </c>
      <c r="E790" t="s">
        <v>2285</v>
      </c>
      <c r="F790" t="s">
        <v>3125</v>
      </c>
      <c r="G790" t="s">
        <v>3126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3">
      <c r="A791" t="s">
        <v>2288</v>
      </c>
      <c r="B791" t="s">
        <v>3127</v>
      </c>
      <c r="C791" t="s">
        <v>3128</v>
      </c>
      <c r="D791" t="s">
        <v>2284</v>
      </c>
      <c r="E791" t="s">
        <v>2285</v>
      </c>
      <c r="F791" t="s">
        <v>3129</v>
      </c>
      <c r="G791" t="s">
        <v>3130</v>
      </c>
      <c r="H791">
        <v>0</v>
      </c>
      <c r="I791">
        <v>250</v>
      </c>
      <c r="J791">
        <v>4940</v>
      </c>
      <c r="K791">
        <v>0</v>
      </c>
      <c r="L791">
        <v>0</v>
      </c>
      <c r="M791">
        <v>250</v>
      </c>
      <c r="N791">
        <v>0</v>
      </c>
      <c r="O791">
        <v>0</v>
      </c>
    </row>
    <row r="792" spans="1:15" x14ac:dyDescent="0.3">
      <c r="A792" t="s">
        <v>2288</v>
      </c>
      <c r="B792" t="s">
        <v>3131</v>
      </c>
      <c r="C792" t="s">
        <v>3132</v>
      </c>
      <c r="D792" t="s">
        <v>2284</v>
      </c>
      <c r="E792" t="s">
        <v>2285</v>
      </c>
      <c r="F792" t="s">
        <v>3133</v>
      </c>
      <c r="G792" t="s">
        <v>3134</v>
      </c>
      <c r="H792">
        <v>0</v>
      </c>
      <c r="I792">
        <v>250</v>
      </c>
      <c r="J792">
        <v>0</v>
      </c>
      <c r="K792">
        <v>0</v>
      </c>
      <c r="L792">
        <v>0</v>
      </c>
      <c r="M792">
        <v>250</v>
      </c>
      <c r="N792">
        <v>0</v>
      </c>
      <c r="O792">
        <v>0</v>
      </c>
    </row>
    <row r="793" spans="1:15" x14ac:dyDescent="0.3">
      <c r="A793" t="s">
        <v>2288</v>
      </c>
      <c r="B793" t="s">
        <v>3135</v>
      </c>
      <c r="C793" t="s">
        <v>3136</v>
      </c>
      <c r="D793" t="s">
        <v>2284</v>
      </c>
      <c r="E793" t="s">
        <v>2285</v>
      </c>
      <c r="F793" t="s">
        <v>3137</v>
      </c>
      <c r="G793" t="s">
        <v>3138</v>
      </c>
      <c r="H793">
        <v>0</v>
      </c>
      <c r="I793">
        <v>250</v>
      </c>
      <c r="J793">
        <v>0</v>
      </c>
      <c r="K793">
        <v>0</v>
      </c>
      <c r="L793">
        <v>0</v>
      </c>
      <c r="M793">
        <v>250</v>
      </c>
      <c r="N793">
        <v>0</v>
      </c>
      <c r="O793">
        <v>0</v>
      </c>
    </row>
    <row r="794" spans="1:15" x14ac:dyDescent="0.3">
      <c r="A794" t="s">
        <v>2288</v>
      </c>
      <c r="B794" t="s">
        <v>3139</v>
      </c>
      <c r="C794" t="s">
        <v>3140</v>
      </c>
      <c r="D794" t="s">
        <v>2284</v>
      </c>
      <c r="E794" t="s">
        <v>2285</v>
      </c>
      <c r="F794" t="s">
        <v>3141</v>
      </c>
      <c r="G794" t="s">
        <v>3142</v>
      </c>
      <c r="H794">
        <v>0</v>
      </c>
      <c r="I794">
        <v>250</v>
      </c>
      <c r="J794">
        <v>0</v>
      </c>
      <c r="K794">
        <v>0</v>
      </c>
      <c r="L794">
        <v>0</v>
      </c>
      <c r="M794">
        <v>250</v>
      </c>
      <c r="N794">
        <v>0</v>
      </c>
      <c r="O794">
        <v>0</v>
      </c>
    </row>
    <row r="795" spans="1:15" x14ac:dyDescent="0.3">
      <c r="A795" t="s">
        <v>2288</v>
      </c>
      <c r="B795" t="s">
        <v>3143</v>
      </c>
      <c r="C795" t="s">
        <v>3144</v>
      </c>
      <c r="D795" t="s">
        <v>2284</v>
      </c>
      <c r="E795" t="s">
        <v>2285</v>
      </c>
      <c r="F795" t="s">
        <v>3145</v>
      </c>
      <c r="G795" t="s">
        <v>3146</v>
      </c>
      <c r="H795">
        <v>0</v>
      </c>
      <c r="I795">
        <v>250</v>
      </c>
      <c r="J795">
        <v>0</v>
      </c>
      <c r="K795">
        <v>0</v>
      </c>
      <c r="L795">
        <v>0</v>
      </c>
      <c r="M795">
        <v>250</v>
      </c>
      <c r="N795">
        <v>0</v>
      </c>
      <c r="O795">
        <v>0</v>
      </c>
    </row>
    <row r="796" spans="1:15" x14ac:dyDescent="0.3">
      <c r="A796" t="s">
        <v>2288</v>
      </c>
      <c r="B796" t="s">
        <v>3147</v>
      </c>
      <c r="C796" t="s">
        <v>3148</v>
      </c>
      <c r="D796" t="s">
        <v>2284</v>
      </c>
      <c r="E796" t="s">
        <v>2285</v>
      </c>
      <c r="F796" t="s">
        <v>3149</v>
      </c>
      <c r="G796" t="s">
        <v>3150</v>
      </c>
      <c r="H796">
        <v>0</v>
      </c>
      <c r="I796">
        <v>250</v>
      </c>
      <c r="J796">
        <v>0</v>
      </c>
      <c r="K796">
        <v>0</v>
      </c>
      <c r="L796">
        <v>0</v>
      </c>
      <c r="M796">
        <v>250</v>
      </c>
      <c r="N796">
        <v>0</v>
      </c>
      <c r="O796">
        <v>0</v>
      </c>
    </row>
    <row r="797" spans="1:15" x14ac:dyDescent="0.3">
      <c r="A797" t="s">
        <v>2288</v>
      </c>
      <c r="B797" t="s">
        <v>3151</v>
      </c>
      <c r="C797" t="s">
        <v>3152</v>
      </c>
      <c r="D797" t="s">
        <v>2284</v>
      </c>
      <c r="E797" t="s">
        <v>2285</v>
      </c>
      <c r="F797" t="s">
        <v>3153</v>
      </c>
      <c r="G797" t="s">
        <v>3154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 x14ac:dyDescent="0.3">
      <c r="A798" t="s">
        <v>2288</v>
      </c>
      <c r="B798" t="s">
        <v>3155</v>
      </c>
      <c r="C798" t="s">
        <v>3156</v>
      </c>
      <c r="D798" t="s">
        <v>2284</v>
      </c>
      <c r="E798" t="s">
        <v>2285</v>
      </c>
      <c r="F798" t="s">
        <v>3157</v>
      </c>
      <c r="G798" t="s">
        <v>3158</v>
      </c>
      <c r="H798">
        <v>0</v>
      </c>
      <c r="I798">
        <v>250</v>
      </c>
      <c r="J798">
        <v>1620</v>
      </c>
      <c r="K798">
        <v>346</v>
      </c>
      <c r="L798">
        <v>0</v>
      </c>
      <c r="M798">
        <v>250</v>
      </c>
      <c r="N798">
        <v>0</v>
      </c>
      <c r="O798">
        <v>0</v>
      </c>
    </row>
    <row r="799" spans="1:15" x14ac:dyDescent="0.3">
      <c r="A799" t="s">
        <v>2288</v>
      </c>
      <c r="B799" t="s">
        <v>3159</v>
      </c>
      <c r="C799" t="s">
        <v>3160</v>
      </c>
      <c r="D799" t="s">
        <v>2284</v>
      </c>
      <c r="E799" t="s">
        <v>2285</v>
      </c>
      <c r="F799" t="s">
        <v>3161</v>
      </c>
      <c r="G799" t="s">
        <v>3162</v>
      </c>
      <c r="H799">
        <v>0</v>
      </c>
      <c r="I799">
        <v>250</v>
      </c>
      <c r="J799">
        <v>0</v>
      </c>
      <c r="K799">
        <v>0</v>
      </c>
      <c r="L799">
        <v>0</v>
      </c>
      <c r="M799">
        <v>250</v>
      </c>
      <c r="N799">
        <v>0</v>
      </c>
      <c r="O799">
        <v>0</v>
      </c>
    </row>
    <row r="800" spans="1:15" x14ac:dyDescent="0.3">
      <c r="A800" t="s">
        <v>2288</v>
      </c>
      <c r="B800" t="s">
        <v>3163</v>
      </c>
      <c r="C800" t="s">
        <v>3164</v>
      </c>
      <c r="D800" t="s">
        <v>2284</v>
      </c>
      <c r="E800" t="s">
        <v>2285</v>
      </c>
      <c r="F800" t="s">
        <v>3165</v>
      </c>
      <c r="G800" t="s">
        <v>3166</v>
      </c>
      <c r="H800">
        <v>0</v>
      </c>
      <c r="I800">
        <v>250</v>
      </c>
      <c r="J800">
        <v>0</v>
      </c>
      <c r="K800">
        <v>0</v>
      </c>
      <c r="L800">
        <v>0</v>
      </c>
      <c r="M800">
        <v>250</v>
      </c>
      <c r="N800">
        <v>0</v>
      </c>
      <c r="O800">
        <v>0</v>
      </c>
    </row>
    <row r="801" spans="1:15" x14ac:dyDescent="0.3">
      <c r="A801" t="s">
        <v>2288</v>
      </c>
      <c r="B801" t="s">
        <v>3167</v>
      </c>
      <c r="C801" t="s">
        <v>3168</v>
      </c>
      <c r="D801" t="s">
        <v>2284</v>
      </c>
      <c r="E801" t="s">
        <v>2285</v>
      </c>
      <c r="F801" t="s">
        <v>3169</v>
      </c>
      <c r="G801" t="s">
        <v>3170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3">
      <c r="A802" t="s">
        <v>2288</v>
      </c>
      <c r="B802" t="s">
        <v>3171</v>
      </c>
      <c r="C802" t="s">
        <v>3172</v>
      </c>
      <c r="D802" t="s">
        <v>2284</v>
      </c>
      <c r="E802" t="s">
        <v>2285</v>
      </c>
      <c r="F802" t="s">
        <v>3173</v>
      </c>
      <c r="G802" t="s">
        <v>3174</v>
      </c>
      <c r="H802">
        <v>0</v>
      </c>
      <c r="I802">
        <v>250</v>
      </c>
      <c r="J802">
        <v>21983</v>
      </c>
      <c r="K802">
        <v>0</v>
      </c>
      <c r="L802">
        <v>0</v>
      </c>
      <c r="M802">
        <v>250</v>
      </c>
      <c r="N802">
        <v>0</v>
      </c>
      <c r="O802">
        <v>0</v>
      </c>
    </row>
    <row r="803" spans="1:15" x14ac:dyDescent="0.3">
      <c r="A803" t="s">
        <v>2288</v>
      </c>
      <c r="B803" t="s">
        <v>3175</v>
      </c>
      <c r="C803" t="s">
        <v>3176</v>
      </c>
      <c r="D803" t="s">
        <v>2284</v>
      </c>
      <c r="E803" t="s">
        <v>2285</v>
      </c>
      <c r="F803" t="s">
        <v>3177</v>
      </c>
      <c r="G803" t="s">
        <v>3178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3">
      <c r="A804" t="s">
        <v>2288</v>
      </c>
      <c r="B804" t="s">
        <v>3179</v>
      </c>
      <c r="C804" t="s">
        <v>3180</v>
      </c>
      <c r="D804" t="s">
        <v>2284</v>
      </c>
      <c r="E804" t="s">
        <v>2285</v>
      </c>
      <c r="F804" t="s">
        <v>3181</v>
      </c>
      <c r="G804" t="s">
        <v>3182</v>
      </c>
      <c r="H804">
        <v>0</v>
      </c>
      <c r="I804">
        <v>250</v>
      </c>
      <c r="J804">
        <v>0</v>
      </c>
      <c r="K804">
        <v>0</v>
      </c>
      <c r="L804">
        <v>0</v>
      </c>
      <c r="M804">
        <v>250</v>
      </c>
      <c r="N804">
        <v>0</v>
      </c>
      <c r="O804">
        <v>0</v>
      </c>
    </row>
    <row r="805" spans="1:15" x14ac:dyDescent="0.3">
      <c r="A805" t="s">
        <v>2288</v>
      </c>
      <c r="B805" t="s">
        <v>3183</v>
      </c>
      <c r="C805" t="s">
        <v>3184</v>
      </c>
      <c r="D805" t="s">
        <v>2284</v>
      </c>
      <c r="E805" t="s">
        <v>2285</v>
      </c>
      <c r="F805" t="s">
        <v>3185</v>
      </c>
      <c r="G805" t="s">
        <v>3186</v>
      </c>
      <c r="H805">
        <v>0</v>
      </c>
      <c r="I805">
        <v>250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3">
      <c r="A806" t="s">
        <v>2288</v>
      </c>
      <c r="B806" t="s">
        <v>3187</v>
      </c>
      <c r="C806" t="s">
        <v>3188</v>
      </c>
      <c r="D806" t="s">
        <v>2284</v>
      </c>
      <c r="E806" t="s">
        <v>2285</v>
      </c>
      <c r="F806" t="s">
        <v>3189</v>
      </c>
      <c r="G806" t="s">
        <v>3190</v>
      </c>
      <c r="H806">
        <v>0</v>
      </c>
      <c r="I806">
        <v>250</v>
      </c>
      <c r="J806">
        <v>0</v>
      </c>
      <c r="K806">
        <v>0</v>
      </c>
      <c r="L806">
        <v>0</v>
      </c>
      <c r="M806">
        <v>250</v>
      </c>
      <c r="N806">
        <v>0</v>
      </c>
      <c r="O806">
        <v>0</v>
      </c>
    </row>
    <row r="807" spans="1:15" x14ac:dyDescent="0.3">
      <c r="A807" t="s">
        <v>2288</v>
      </c>
      <c r="B807" t="s">
        <v>3191</v>
      </c>
      <c r="C807" t="s">
        <v>3192</v>
      </c>
      <c r="D807" t="s">
        <v>2284</v>
      </c>
      <c r="E807" t="s">
        <v>2285</v>
      </c>
      <c r="F807" t="s">
        <v>3193</v>
      </c>
      <c r="G807" t="s">
        <v>3194</v>
      </c>
      <c r="H807">
        <v>0</v>
      </c>
      <c r="I807">
        <v>250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 x14ac:dyDescent="0.3">
      <c r="A808" t="s">
        <v>2288</v>
      </c>
      <c r="B808" t="s">
        <v>3195</v>
      </c>
      <c r="C808" t="s">
        <v>3196</v>
      </c>
      <c r="D808" t="s">
        <v>2284</v>
      </c>
      <c r="E808" t="s">
        <v>2285</v>
      </c>
      <c r="F808" t="s">
        <v>3197</v>
      </c>
      <c r="G808" t="s">
        <v>3198</v>
      </c>
      <c r="H808">
        <v>0</v>
      </c>
      <c r="I808">
        <v>250</v>
      </c>
      <c r="J808">
        <v>618</v>
      </c>
      <c r="K808">
        <v>0</v>
      </c>
      <c r="L808">
        <v>0</v>
      </c>
      <c r="M808">
        <v>250</v>
      </c>
      <c r="N808">
        <v>0</v>
      </c>
      <c r="O808">
        <v>0</v>
      </c>
    </row>
    <row r="809" spans="1:15" x14ac:dyDescent="0.3">
      <c r="A809" t="s">
        <v>2288</v>
      </c>
      <c r="B809" t="s">
        <v>3199</v>
      </c>
      <c r="C809" t="s">
        <v>3200</v>
      </c>
      <c r="D809" t="s">
        <v>2284</v>
      </c>
      <c r="E809" t="s">
        <v>2285</v>
      </c>
      <c r="F809" t="s">
        <v>3201</v>
      </c>
      <c r="G809" t="s">
        <v>3202</v>
      </c>
      <c r="H809">
        <v>0</v>
      </c>
      <c r="I809">
        <v>250</v>
      </c>
      <c r="J809">
        <v>3635</v>
      </c>
      <c r="K809">
        <v>0</v>
      </c>
      <c r="L809">
        <v>0</v>
      </c>
      <c r="M809">
        <v>250</v>
      </c>
      <c r="N809">
        <v>0</v>
      </c>
      <c r="O809">
        <v>0</v>
      </c>
    </row>
    <row r="810" spans="1:15" x14ac:dyDescent="0.3">
      <c r="A810" t="s">
        <v>2288</v>
      </c>
      <c r="B810" t="s">
        <v>3203</v>
      </c>
      <c r="C810" t="s">
        <v>3204</v>
      </c>
      <c r="D810" t="s">
        <v>2284</v>
      </c>
      <c r="E810" t="s">
        <v>2285</v>
      </c>
      <c r="F810" t="s">
        <v>3205</v>
      </c>
      <c r="G810" t="s">
        <v>3206</v>
      </c>
      <c r="H810">
        <v>0</v>
      </c>
      <c r="I810">
        <v>250</v>
      </c>
      <c r="J810">
        <v>0</v>
      </c>
      <c r="K810">
        <v>0</v>
      </c>
      <c r="L810">
        <v>0</v>
      </c>
      <c r="M810">
        <v>250</v>
      </c>
      <c r="N810">
        <v>0</v>
      </c>
      <c r="O810">
        <v>0</v>
      </c>
    </row>
    <row r="811" spans="1:15" x14ac:dyDescent="0.3">
      <c r="A811" t="s">
        <v>2288</v>
      </c>
      <c r="B811" t="s">
        <v>3207</v>
      </c>
      <c r="C811" t="s">
        <v>3208</v>
      </c>
      <c r="D811" t="s">
        <v>2284</v>
      </c>
      <c r="E811" t="s">
        <v>2285</v>
      </c>
      <c r="F811" t="s">
        <v>3209</v>
      </c>
      <c r="G811" t="s">
        <v>3210</v>
      </c>
      <c r="H811">
        <v>0</v>
      </c>
      <c r="I811">
        <v>545</v>
      </c>
      <c r="J811">
        <v>0</v>
      </c>
      <c r="K811">
        <v>0</v>
      </c>
      <c r="L811">
        <v>0</v>
      </c>
      <c r="M811">
        <v>250</v>
      </c>
      <c r="N811">
        <v>0</v>
      </c>
      <c r="O811">
        <v>0</v>
      </c>
    </row>
    <row r="812" spans="1:15" x14ac:dyDescent="0.3">
      <c r="A812" t="s">
        <v>2288</v>
      </c>
      <c r="B812" t="s">
        <v>3211</v>
      </c>
      <c r="C812" t="s">
        <v>3212</v>
      </c>
      <c r="D812" t="s">
        <v>2284</v>
      </c>
      <c r="E812" t="s">
        <v>2285</v>
      </c>
      <c r="F812" t="s">
        <v>3213</v>
      </c>
      <c r="G812" t="s">
        <v>3214</v>
      </c>
      <c r="H812">
        <v>0</v>
      </c>
      <c r="I812">
        <v>250</v>
      </c>
      <c r="J812">
        <v>0</v>
      </c>
      <c r="K812">
        <v>0</v>
      </c>
      <c r="L812">
        <v>0</v>
      </c>
      <c r="M812">
        <v>250</v>
      </c>
      <c r="N812">
        <v>0</v>
      </c>
      <c r="O812">
        <v>0</v>
      </c>
    </row>
    <row r="813" spans="1:15" x14ac:dyDescent="0.3">
      <c r="A813" t="s">
        <v>2288</v>
      </c>
      <c r="B813" t="s">
        <v>3215</v>
      </c>
      <c r="C813" t="s">
        <v>3216</v>
      </c>
      <c r="D813" t="s">
        <v>2284</v>
      </c>
      <c r="E813" t="s">
        <v>2285</v>
      </c>
      <c r="F813" t="s">
        <v>3217</v>
      </c>
      <c r="G813" t="s">
        <v>3218</v>
      </c>
      <c r="H813">
        <v>0</v>
      </c>
      <c r="I813">
        <v>250</v>
      </c>
      <c r="J813">
        <v>0</v>
      </c>
      <c r="K813">
        <v>0</v>
      </c>
      <c r="L813">
        <v>0</v>
      </c>
      <c r="M813">
        <v>250</v>
      </c>
      <c r="N813">
        <v>0</v>
      </c>
      <c r="O813">
        <v>0</v>
      </c>
    </row>
    <row r="814" spans="1:15" x14ac:dyDescent="0.3">
      <c r="A814" t="s">
        <v>2288</v>
      </c>
      <c r="B814" t="s">
        <v>3219</v>
      </c>
      <c r="C814" t="s">
        <v>3220</v>
      </c>
      <c r="D814" t="s">
        <v>2284</v>
      </c>
      <c r="E814" t="s">
        <v>2285</v>
      </c>
      <c r="F814" t="s">
        <v>3221</v>
      </c>
      <c r="G814" t="s">
        <v>3222</v>
      </c>
      <c r="H814">
        <v>0</v>
      </c>
      <c r="I814">
        <v>250</v>
      </c>
      <c r="J814">
        <v>0</v>
      </c>
      <c r="K814">
        <v>0</v>
      </c>
      <c r="L814">
        <v>0</v>
      </c>
      <c r="M814">
        <v>250</v>
      </c>
      <c r="N814">
        <v>0</v>
      </c>
      <c r="O814">
        <v>0</v>
      </c>
    </row>
    <row r="815" spans="1:15" x14ac:dyDescent="0.3">
      <c r="A815" t="s">
        <v>2288</v>
      </c>
      <c r="B815" t="s">
        <v>3223</v>
      </c>
      <c r="C815" t="s">
        <v>3224</v>
      </c>
      <c r="D815" t="s">
        <v>2284</v>
      </c>
      <c r="E815" t="s">
        <v>2285</v>
      </c>
      <c r="F815" t="s">
        <v>3225</v>
      </c>
      <c r="G815" t="s">
        <v>3226</v>
      </c>
      <c r="H815">
        <v>0</v>
      </c>
      <c r="I815">
        <v>250</v>
      </c>
      <c r="J815">
        <v>0</v>
      </c>
      <c r="K815">
        <v>0</v>
      </c>
      <c r="L815">
        <v>0</v>
      </c>
      <c r="M815">
        <v>250</v>
      </c>
      <c r="N815">
        <v>0</v>
      </c>
      <c r="O815">
        <v>0</v>
      </c>
    </row>
    <row r="816" spans="1:15" x14ac:dyDescent="0.3">
      <c r="A816" t="s">
        <v>2288</v>
      </c>
      <c r="B816" t="s">
        <v>3227</v>
      </c>
      <c r="C816" t="s">
        <v>3228</v>
      </c>
      <c r="D816" t="s">
        <v>2284</v>
      </c>
      <c r="E816" t="s">
        <v>2285</v>
      </c>
      <c r="F816" t="s">
        <v>3229</v>
      </c>
      <c r="G816" t="s">
        <v>3230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3">
      <c r="A817" t="s">
        <v>2288</v>
      </c>
      <c r="B817" t="s">
        <v>3231</v>
      </c>
      <c r="C817" t="s">
        <v>3232</v>
      </c>
      <c r="D817" t="s">
        <v>2284</v>
      </c>
      <c r="E817" t="s">
        <v>2285</v>
      </c>
      <c r="F817" t="s">
        <v>3233</v>
      </c>
      <c r="G817" t="s">
        <v>3234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3">
      <c r="A818" t="s">
        <v>2288</v>
      </c>
      <c r="B818" t="s">
        <v>3235</v>
      </c>
      <c r="C818" t="s">
        <v>3236</v>
      </c>
      <c r="D818" t="s">
        <v>2284</v>
      </c>
      <c r="E818" t="s">
        <v>2285</v>
      </c>
      <c r="F818" t="s">
        <v>3237</v>
      </c>
      <c r="G818" t="s">
        <v>3238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3">
      <c r="A819" t="s">
        <v>2288</v>
      </c>
      <c r="B819" t="s">
        <v>3239</v>
      </c>
      <c r="C819" t="s">
        <v>3240</v>
      </c>
      <c r="D819" t="s">
        <v>2284</v>
      </c>
      <c r="E819" t="s">
        <v>2285</v>
      </c>
      <c r="F819" t="s">
        <v>3241</v>
      </c>
      <c r="G819" t="s">
        <v>3242</v>
      </c>
      <c r="H819">
        <v>0</v>
      </c>
      <c r="I819">
        <v>250</v>
      </c>
      <c r="J819">
        <v>0</v>
      </c>
      <c r="K819">
        <v>0</v>
      </c>
      <c r="L819">
        <v>0</v>
      </c>
      <c r="M819">
        <v>250</v>
      </c>
      <c r="N819">
        <v>0</v>
      </c>
      <c r="O819">
        <v>0</v>
      </c>
    </row>
    <row r="820" spans="1:15" x14ac:dyDescent="0.3">
      <c r="A820" t="s">
        <v>2288</v>
      </c>
      <c r="B820" t="s">
        <v>3243</v>
      </c>
      <c r="C820" t="s">
        <v>3244</v>
      </c>
      <c r="D820" t="s">
        <v>2284</v>
      </c>
      <c r="E820" t="s">
        <v>2285</v>
      </c>
      <c r="F820" t="s">
        <v>3245</v>
      </c>
      <c r="G820" t="s">
        <v>3246</v>
      </c>
      <c r="H820">
        <v>0</v>
      </c>
      <c r="I820">
        <v>2750</v>
      </c>
      <c r="J820">
        <v>8202</v>
      </c>
      <c r="K820">
        <v>1800</v>
      </c>
      <c r="L820">
        <v>0</v>
      </c>
      <c r="M820">
        <v>2750</v>
      </c>
      <c r="N820">
        <v>0</v>
      </c>
      <c r="O820">
        <v>0</v>
      </c>
    </row>
    <row r="821" spans="1:15" x14ac:dyDescent="0.3">
      <c r="A821" t="s">
        <v>2288</v>
      </c>
      <c r="B821" t="s">
        <v>3247</v>
      </c>
      <c r="C821" t="s">
        <v>3248</v>
      </c>
      <c r="D821" t="s">
        <v>2284</v>
      </c>
      <c r="E821" t="s">
        <v>2285</v>
      </c>
      <c r="F821" t="s">
        <v>3249</v>
      </c>
      <c r="G821">
        <f>255713430330 / 255753430330</f>
        <v>0.99984359936072653</v>
      </c>
      <c r="H821">
        <v>0</v>
      </c>
      <c r="I821">
        <v>2378</v>
      </c>
      <c r="J821">
        <v>489</v>
      </c>
      <c r="K821">
        <v>386</v>
      </c>
      <c r="L821">
        <v>0</v>
      </c>
      <c r="M821">
        <v>2378</v>
      </c>
      <c r="N821">
        <v>0</v>
      </c>
      <c r="O821">
        <v>0</v>
      </c>
    </row>
    <row r="822" spans="1:15" x14ac:dyDescent="0.3">
      <c r="A822" t="s">
        <v>2288</v>
      </c>
      <c r="B822" t="s">
        <v>3250</v>
      </c>
      <c r="C822" t="s">
        <v>3251</v>
      </c>
      <c r="D822" t="s">
        <v>2284</v>
      </c>
      <c r="E822" t="s">
        <v>2285</v>
      </c>
      <c r="F822" t="s">
        <v>3252</v>
      </c>
      <c r="G822" t="s">
        <v>3253</v>
      </c>
      <c r="H822">
        <v>0</v>
      </c>
      <c r="I822">
        <v>4942</v>
      </c>
      <c r="J822">
        <v>1037</v>
      </c>
      <c r="K822">
        <v>0</v>
      </c>
      <c r="L822">
        <v>0</v>
      </c>
      <c r="M822">
        <v>556</v>
      </c>
      <c r="N822">
        <v>0</v>
      </c>
      <c r="O822">
        <v>0</v>
      </c>
    </row>
    <row r="823" spans="1:15" x14ac:dyDescent="0.3">
      <c r="A823" t="s">
        <v>2288</v>
      </c>
      <c r="B823" t="s">
        <v>3254</v>
      </c>
      <c r="C823" t="s">
        <v>3255</v>
      </c>
      <c r="D823" t="s">
        <v>2284</v>
      </c>
      <c r="E823" t="s">
        <v>2285</v>
      </c>
      <c r="F823" t="s">
        <v>3256</v>
      </c>
      <c r="G823" t="s">
        <v>3257</v>
      </c>
      <c r="H823">
        <v>0</v>
      </c>
      <c r="I823">
        <v>250</v>
      </c>
      <c r="J823">
        <v>0</v>
      </c>
      <c r="K823">
        <v>0</v>
      </c>
      <c r="L823">
        <v>0</v>
      </c>
      <c r="M823">
        <v>250</v>
      </c>
      <c r="N823">
        <v>0</v>
      </c>
      <c r="O823">
        <v>0</v>
      </c>
    </row>
    <row r="824" spans="1:15" x14ac:dyDescent="0.3">
      <c r="A824" t="s">
        <v>2288</v>
      </c>
      <c r="B824" t="s">
        <v>3258</v>
      </c>
      <c r="C824" t="s">
        <v>3259</v>
      </c>
      <c r="D824" t="s">
        <v>2284</v>
      </c>
      <c r="E824" t="s">
        <v>2285</v>
      </c>
      <c r="F824" t="s">
        <v>3260</v>
      </c>
      <c r="G824" t="s">
        <v>3261</v>
      </c>
      <c r="H824">
        <v>0</v>
      </c>
      <c r="I824">
        <v>1816</v>
      </c>
      <c r="J824">
        <v>6552</v>
      </c>
      <c r="K824">
        <v>0</v>
      </c>
      <c r="L824">
        <v>2900</v>
      </c>
      <c r="M824">
        <v>74</v>
      </c>
      <c r="N824">
        <v>0</v>
      </c>
      <c r="O824">
        <v>0</v>
      </c>
    </row>
    <row r="825" spans="1:15" x14ac:dyDescent="0.3">
      <c r="A825" t="s">
        <v>2288</v>
      </c>
      <c r="B825" t="s">
        <v>3262</v>
      </c>
      <c r="C825" t="s">
        <v>3263</v>
      </c>
      <c r="D825" t="s">
        <v>2284</v>
      </c>
      <c r="E825" t="s">
        <v>2285</v>
      </c>
      <c r="F825" t="s">
        <v>3264</v>
      </c>
      <c r="G825" t="s">
        <v>3265</v>
      </c>
      <c r="H825">
        <v>0</v>
      </c>
      <c r="I825">
        <v>738</v>
      </c>
      <c r="J825">
        <v>24058</v>
      </c>
      <c r="K825">
        <v>0</v>
      </c>
      <c r="L825">
        <v>0</v>
      </c>
      <c r="M825">
        <v>238</v>
      </c>
      <c r="N825">
        <v>488</v>
      </c>
      <c r="O825">
        <v>500</v>
      </c>
    </row>
    <row r="826" spans="1:15" x14ac:dyDescent="0.3">
      <c r="A826" t="s">
        <v>2288</v>
      </c>
      <c r="B826" t="s">
        <v>3266</v>
      </c>
      <c r="C826" t="s">
        <v>3267</v>
      </c>
      <c r="D826" t="s">
        <v>2284</v>
      </c>
      <c r="E826" t="s">
        <v>2285</v>
      </c>
      <c r="F826" t="s">
        <v>3268</v>
      </c>
      <c r="G826" t="s">
        <v>3269</v>
      </c>
      <c r="H826">
        <v>0</v>
      </c>
      <c r="I826">
        <v>250</v>
      </c>
      <c r="J826">
        <v>0</v>
      </c>
      <c r="K826">
        <v>0</v>
      </c>
      <c r="L826">
        <v>0</v>
      </c>
      <c r="M826">
        <v>250</v>
      </c>
      <c r="N826">
        <v>0</v>
      </c>
      <c r="O826">
        <v>0</v>
      </c>
    </row>
    <row r="827" spans="1:15" x14ac:dyDescent="0.3">
      <c r="A827" t="s">
        <v>2288</v>
      </c>
      <c r="B827" t="s">
        <v>3270</v>
      </c>
      <c r="C827" t="s">
        <v>3271</v>
      </c>
      <c r="D827" t="s">
        <v>2284</v>
      </c>
      <c r="E827" t="s">
        <v>2285</v>
      </c>
      <c r="F827" t="s">
        <v>3272</v>
      </c>
      <c r="G827" t="s">
        <v>3273</v>
      </c>
      <c r="H827">
        <v>0</v>
      </c>
      <c r="I827">
        <v>250</v>
      </c>
      <c r="J827">
        <v>15295</v>
      </c>
      <c r="K827">
        <v>0</v>
      </c>
      <c r="L827">
        <v>0</v>
      </c>
      <c r="M827">
        <v>250</v>
      </c>
      <c r="N827">
        <v>0</v>
      </c>
      <c r="O827">
        <v>0</v>
      </c>
    </row>
    <row r="828" spans="1:15" x14ac:dyDescent="0.3">
      <c r="A828" t="s">
        <v>2288</v>
      </c>
      <c r="B828" t="s">
        <v>3274</v>
      </c>
      <c r="C828" t="s">
        <v>3275</v>
      </c>
      <c r="D828" t="s">
        <v>2284</v>
      </c>
      <c r="E828" t="s">
        <v>2285</v>
      </c>
      <c r="F828" t="s">
        <v>3276</v>
      </c>
      <c r="G828" t="s">
        <v>3277</v>
      </c>
      <c r="H828">
        <v>0</v>
      </c>
      <c r="I828">
        <v>250</v>
      </c>
      <c r="J828">
        <v>0</v>
      </c>
      <c r="K828">
        <v>0</v>
      </c>
      <c r="L828">
        <v>0</v>
      </c>
      <c r="M828">
        <v>250</v>
      </c>
      <c r="N828">
        <v>0</v>
      </c>
      <c r="O828">
        <v>0</v>
      </c>
    </row>
    <row r="829" spans="1:15" x14ac:dyDescent="0.3">
      <c r="A829" t="s">
        <v>2288</v>
      </c>
      <c r="B829" t="s">
        <v>3278</v>
      </c>
      <c r="C829" t="s">
        <v>3279</v>
      </c>
      <c r="D829" t="s">
        <v>2284</v>
      </c>
      <c r="E829" t="s">
        <v>2285</v>
      </c>
      <c r="F829" t="s">
        <v>3280</v>
      </c>
      <c r="G829" t="s">
        <v>3281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 x14ac:dyDescent="0.3">
      <c r="A830" t="s">
        <v>2288</v>
      </c>
      <c r="B830" t="s">
        <v>3282</v>
      </c>
      <c r="C830" t="s">
        <v>3283</v>
      </c>
      <c r="D830" t="s">
        <v>2284</v>
      </c>
      <c r="E830" t="s">
        <v>2285</v>
      </c>
      <c r="F830" t="s">
        <v>3284</v>
      </c>
      <c r="G830" t="s">
        <v>3285</v>
      </c>
      <c r="H830">
        <v>0</v>
      </c>
      <c r="I830">
        <v>250</v>
      </c>
      <c r="J830">
        <v>0</v>
      </c>
      <c r="K830">
        <v>956</v>
      </c>
      <c r="L830">
        <v>0</v>
      </c>
      <c r="M830">
        <v>250</v>
      </c>
      <c r="N830">
        <v>0</v>
      </c>
      <c r="O830">
        <v>0</v>
      </c>
    </row>
    <row r="831" spans="1:15" x14ac:dyDescent="0.3">
      <c r="A831" t="s">
        <v>2288</v>
      </c>
      <c r="B831" t="s">
        <v>3286</v>
      </c>
      <c r="C831" t="s">
        <v>3287</v>
      </c>
      <c r="D831" t="s">
        <v>2284</v>
      </c>
      <c r="E831" t="s">
        <v>2285</v>
      </c>
      <c r="F831" t="s">
        <v>3288</v>
      </c>
      <c r="G831" t="s">
        <v>3289</v>
      </c>
      <c r="H831">
        <v>360</v>
      </c>
      <c r="I831">
        <v>250</v>
      </c>
      <c r="J831">
        <v>32688</v>
      </c>
      <c r="K831">
        <v>0</v>
      </c>
      <c r="L831">
        <v>0</v>
      </c>
      <c r="M831">
        <v>250</v>
      </c>
      <c r="N831">
        <v>0</v>
      </c>
      <c r="O831">
        <v>0</v>
      </c>
    </row>
    <row r="832" spans="1:15" x14ac:dyDescent="0.3">
      <c r="A832" t="s">
        <v>2288</v>
      </c>
      <c r="B832" t="s">
        <v>3290</v>
      </c>
      <c r="C832" t="s">
        <v>3291</v>
      </c>
      <c r="D832" t="s">
        <v>2284</v>
      </c>
      <c r="E832" t="s">
        <v>2285</v>
      </c>
      <c r="F832" t="s">
        <v>3292</v>
      </c>
      <c r="G832" t="s">
        <v>3293</v>
      </c>
      <c r="H832">
        <v>529</v>
      </c>
      <c r="I832">
        <v>400</v>
      </c>
      <c r="J832">
        <v>35043</v>
      </c>
      <c r="K832">
        <v>519</v>
      </c>
      <c r="L832">
        <v>0</v>
      </c>
      <c r="M832">
        <v>400</v>
      </c>
      <c r="N832">
        <v>150</v>
      </c>
      <c r="O832">
        <v>0</v>
      </c>
    </row>
    <row r="833" spans="1:15" x14ac:dyDescent="0.3">
      <c r="A833" t="s">
        <v>2288</v>
      </c>
      <c r="B833" t="s">
        <v>3294</v>
      </c>
      <c r="C833" t="s">
        <v>3295</v>
      </c>
      <c r="D833" t="s">
        <v>2284</v>
      </c>
      <c r="E833" t="s">
        <v>2285</v>
      </c>
      <c r="F833" t="s">
        <v>3296</v>
      </c>
      <c r="G833" t="s">
        <v>3297</v>
      </c>
      <c r="H833">
        <v>0</v>
      </c>
      <c r="I833">
        <v>250</v>
      </c>
      <c r="J833">
        <v>0</v>
      </c>
      <c r="K833">
        <v>0</v>
      </c>
      <c r="L833">
        <v>0</v>
      </c>
      <c r="M833">
        <v>250</v>
      </c>
      <c r="N833">
        <v>0</v>
      </c>
      <c r="O833">
        <v>0</v>
      </c>
    </row>
    <row r="834" spans="1:15" x14ac:dyDescent="0.3">
      <c r="A834" t="s">
        <v>2288</v>
      </c>
      <c r="B834" t="s">
        <v>3298</v>
      </c>
      <c r="C834" t="s">
        <v>3299</v>
      </c>
      <c r="D834" t="s">
        <v>2284</v>
      </c>
      <c r="E834" t="s">
        <v>2285</v>
      </c>
      <c r="F834" t="s">
        <v>3300</v>
      </c>
      <c r="G834" t="s">
        <v>3301</v>
      </c>
      <c r="H834">
        <v>0</v>
      </c>
      <c r="I834">
        <v>250</v>
      </c>
      <c r="J834">
        <v>0</v>
      </c>
      <c r="K834">
        <v>0</v>
      </c>
      <c r="L834">
        <v>0</v>
      </c>
      <c r="M834">
        <v>250</v>
      </c>
      <c r="N834">
        <v>0</v>
      </c>
      <c r="O834">
        <v>0</v>
      </c>
    </row>
    <row r="835" spans="1:15" x14ac:dyDescent="0.3">
      <c r="A835" t="s">
        <v>2288</v>
      </c>
      <c r="B835" t="s">
        <v>3302</v>
      </c>
      <c r="C835" t="s">
        <v>3303</v>
      </c>
      <c r="D835" t="s">
        <v>2284</v>
      </c>
      <c r="E835" t="s">
        <v>2285</v>
      </c>
      <c r="F835" t="s">
        <v>3304</v>
      </c>
      <c r="G835" t="s">
        <v>3305</v>
      </c>
      <c r="H835">
        <v>0</v>
      </c>
      <c r="I835">
        <v>250</v>
      </c>
      <c r="J835">
        <v>0</v>
      </c>
      <c r="K835">
        <v>0</v>
      </c>
      <c r="L835">
        <v>0</v>
      </c>
      <c r="M835">
        <v>250</v>
      </c>
      <c r="N835">
        <v>0</v>
      </c>
      <c r="O835">
        <v>0</v>
      </c>
    </row>
    <row r="836" spans="1:15" x14ac:dyDescent="0.3">
      <c r="A836" t="s">
        <v>2288</v>
      </c>
      <c r="B836" t="s">
        <v>3306</v>
      </c>
      <c r="C836" t="s">
        <v>3307</v>
      </c>
      <c r="D836" t="s">
        <v>2284</v>
      </c>
      <c r="E836" t="s">
        <v>2285</v>
      </c>
      <c r="F836" t="s">
        <v>3308</v>
      </c>
      <c r="G836" t="s">
        <v>3309</v>
      </c>
      <c r="H836">
        <v>0</v>
      </c>
      <c r="I836">
        <v>250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 x14ac:dyDescent="0.3">
      <c r="A837" t="s">
        <v>2288</v>
      </c>
      <c r="B837" t="s">
        <v>3310</v>
      </c>
      <c r="C837" t="s">
        <v>3311</v>
      </c>
      <c r="D837" t="s">
        <v>2284</v>
      </c>
      <c r="E837" t="s">
        <v>2285</v>
      </c>
      <c r="F837" t="s">
        <v>3312</v>
      </c>
      <c r="G837" t="s">
        <v>3313</v>
      </c>
      <c r="H837">
        <v>0</v>
      </c>
      <c r="I837">
        <v>5333</v>
      </c>
      <c r="J837">
        <v>3773</v>
      </c>
      <c r="K837">
        <v>0</v>
      </c>
      <c r="L837">
        <v>2650</v>
      </c>
      <c r="M837">
        <v>8</v>
      </c>
      <c r="N837">
        <v>2105</v>
      </c>
      <c r="O837">
        <v>3500</v>
      </c>
    </row>
    <row r="838" spans="1:15" x14ac:dyDescent="0.3">
      <c r="A838" t="s">
        <v>2288</v>
      </c>
      <c r="B838" t="s">
        <v>3314</v>
      </c>
      <c r="C838" t="s">
        <v>3315</v>
      </c>
      <c r="D838" t="s">
        <v>2284</v>
      </c>
      <c r="E838" t="s">
        <v>2285</v>
      </c>
      <c r="F838" t="s">
        <v>3316</v>
      </c>
      <c r="G838" t="s">
        <v>3317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 x14ac:dyDescent="0.3">
      <c r="A839" t="s">
        <v>2288</v>
      </c>
      <c r="B839" t="s">
        <v>3318</v>
      </c>
      <c r="C839" t="s">
        <v>3319</v>
      </c>
      <c r="D839" t="s">
        <v>2284</v>
      </c>
      <c r="E839" t="s">
        <v>2285</v>
      </c>
      <c r="F839" t="s">
        <v>3320</v>
      </c>
      <c r="G839" t="s">
        <v>3321</v>
      </c>
      <c r="H839">
        <v>0</v>
      </c>
      <c r="I839">
        <v>250</v>
      </c>
      <c r="J839">
        <v>0</v>
      </c>
      <c r="K839">
        <v>0</v>
      </c>
      <c r="L839">
        <v>0</v>
      </c>
      <c r="M839">
        <v>250</v>
      </c>
      <c r="N839">
        <v>0</v>
      </c>
      <c r="O839">
        <v>0</v>
      </c>
    </row>
    <row r="840" spans="1:15" x14ac:dyDescent="0.3">
      <c r="A840" t="s">
        <v>2288</v>
      </c>
      <c r="B840" t="s">
        <v>3322</v>
      </c>
      <c r="C840" t="s">
        <v>3323</v>
      </c>
      <c r="D840" t="s">
        <v>2284</v>
      </c>
      <c r="E840" t="s">
        <v>2285</v>
      </c>
      <c r="F840" t="s">
        <v>3324</v>
      </c>
      <c r="G840" t="s">
        <v>3325</v>
      </c>
      <c r="H840">
        <v>0</v>
      </c>
      <c r="I840">
        <v>1242</v>
      </c>
      <c r="J840">
        <v>282</v>
      </c>
      <c r="K840">
        <v>0</v>
      </c>
      <c r="L840">
        <v>0</v>
      </c>
      <c r="M840">
        <v>652</v>
      </c>
      <c r="N840">
        <v>207</v>
      </c>
      <c r="O840">
        <v>0</v>
      </c>
    </row>
    <row r="841" spans="1:15" x14ac:dyDescent="0.3">
      <c r="A841" t="s">
        <v>2288</v>
      </c>
      <c r="B841" t="s">
        <v>3326</v>
      </c>
      <c r="C841" t="s">
        <v>3327</v>
      </c>
      <c r="D841" t="s">
        <v>2284</v>
      </c>
      <c r="E841" t="s">
        <v>2285</v>
      </c>
      <c r="F841" t="s">
        <v>3328</v>
      </c>
      <c r="G841" t="s">
        <v>3329</v>
      </c>
      <c r="H841">
        <v>0</v>
      </c>
      <c r="I841">
        <v>250</v>
      </c>
      <c r="J841">
        <v>960</v>
      </c>
      <c r="K841">
        <v>0</v>
      </c>
      <c r="L841">
        <v>0</v>
      </c>
      <c r="M841">
        <v>250</v>
      </c>
      <c r="N841">
        <v>0</v>
      </c>
      <c r="O841">
        <v>0</v>
      </c>
    </row>
    <row r="842" spans="1:15" x14ac:dyDescent="0.3">
      <c r="A842" t="s">
        <v>2288</v>
      </c>
      <c r="B842" t="s">
        <v>3330</v>
      </c>
      <c r="C842" t="s">
        <v>3331</v>
      </c>
      <c r="D842" t="s">
        <v>2284</v>
      </c>
      <c r="E842" t="s">
        <v>2285</v>
      </c>
      <c r="F842" t="s">
        <v>3332</v>
      </c>
      <c r="G842" t="s">
        <v>3333</v>
      </c>
      <c r="H842">
        <v>0</v>
      </c>
      <c r="I842">
        <v>250</v>
      </c>
      <c r="J842">
        <v>0</v>
      </c>
      <c r="K842">
        <v>380</v>
      </c>
      <c r="L842">
        <v>0</v>
      </c>
      <c r="M842">
        <v>250</v>
      </c>
      <c r="N842">
        <v>0</v>
      </c>
      <c r="O842">
        <v>0</v>
      </c>
    </row>
    <row r="843" spans="1:15" x14ac:dyDescent="0.3">
      <c r="A843" t="s">
        <v>2288</v>
      </c>
      <c r="B843" t="s">
        <v>3334</v>
      </c>
      <c r="C843" t="s">
        <v>3335</v>
      </c>
      <c r="D843" t="s">
        <v>2284</v>
      </c>
      <c r="E843" t="s">
        <v>2285</v>
      </c>
      <c r="F843" t="s">
        <v>3336</v>
      </c>
      <c r="G843" t="s">
        <v>3337</v>
      </c>
      <c r="H843">
        <v>0</v>
      </c>
      <c r="I843">
        <v>1006</v>
      </c>
      <c r="J843">
        <v>34698</v>
      </c>
      <c r="K843">
        <v>0</v>
      </c>
      <c r="L843">
        <v>2200</v>
      </c>
      <c r="M843">
        <v>388</v>
      </c>
      <c r="N843">
        <v>0</v>
      </c>
      <c r="O843">
        <v>0</v>
      </c>
    </row>
    <row r="844" spans="1:15" x14ac:dyDescent="0.3">
      <c r="A844" t="s">
        <v>2288</v>
      </c>
      <c r="B844" t="s">
        <v>3338</v>
      </c>
      <c r="C844" t="s">
        <v>3339</v>
      </c>
      <c r="D844" t="s">
        <v>2284</v>
      </c>
      <c r="E844" t="s">
        <v>2285</v>
      </c>
      <c r="F844" t="s">
        <v>3340</v>
      </c>
      <c r="G844" t="s">
        <v>3341</v>
      </c>
      <c r="H844">
        <v>0</v>
      </c>
      <c r="I844">
        <v>250</v>
      </c>
      <c r="J844">
        <v>0</v>
      </c>
      <c r="K844">
        <v>345</v>
      </c>
      <c r="L844">
        <v>0</v>
      </c>
      <c r="M844">
        <v>250</v>
      </c>
      <c r="N844">
        <v>0</v>
      </c>
      <c r="O844">
        <v>0</v>
      </c>
    </row>
    <row r="845" spans="1:15" x14ac:dyDescent="0.3">
      <c r="A845" t="s">
        <v>2288</v>
      </c>
      <c r="B845" t="s">
        <v>3342</v>
      </c>
      <c r="C845" t="s">
        <v>3343</v>
      </c>
      <c r="D845" t="s">
        <v>2284</v>
      </c>
      <c r="E845" t="s">
        <v>2285</v>
      </c>
      <c r="F845" t="s">
        <v>3344</v>
      </c>
      <c r="G845" t="s">
        <v>3345</v>
      </c>
      <c r="H845">
        <v>0</v>
      </c>
      <c r="I845">
        <v>250</v>
      </c>
      <c r="J845">
        <v>0</v>
      </c>
      <c r="K845">
        <v>0</v>
      </c>
      <c r="L845">
        <v>0</v>
      </c>
      <c r="M845">
        <v>250</v>
      </c>
      <c r="N845">
        <v>0</v>
      </c>
      <c r="O845">
        <v>0</v>
      </c>
    </row>
    <row r="846" spans="1:15" x14ac:dyDescent="0.3">
      <c r="A846" t="s">
        <v>2288</v>
      </c>
      <c r="B846" t="s">
        <v>3346</v>
      </c>
      <c r="C846" t="s">
        <v>3347</v>
      </c>
      <c r="D846" t="s">
        <v>2284</v>
      </c>
      <c r="E846" t="s">
        <v>2285</v>
      </c>
      <c r="F846" t="s">
        <v>3348</v>
      </c>
      <c r="G846" t="s">
        <v>3349</v>
      </c>
      <c r="H846">
        <v>0</v>
      </c>
      <c r="I846">
        <v>250</v>
      </c>
      <c r="J846">
        <v>0</v>
      </c>
      <c r="K846">
        <v>0</v>
      </c>
      <c r="L846">
        <v>0</v>
      </c>
      <c r="M846">
        <v>250</v>
      </c>
      <c r="N846">
        <v>0</v>
      </c>
      <c r="O846">
        <v>0</v>
      </c>
    </row>
    <row r="847" spans="1:15" x14ac:dyDescent="0.3">
      <c r="A847" t="s">
        <v>2288</v>
      </c>
      <c r="B847" t="s">
        <v>3350</v>
      </c>
      <c r="C847" t="s">
        <v>3351</v>
      </c>
      <c r="D847" t="s">
        <v>2284</v>
      </c>
      <c r="E847" t="s">
        <v>2285</v>
      </c>
      <c r="F847" t="s">
        <v>3352</v>
      </c>
      <c r="G847" t="s">
        <v>3353</v>
      </c>
      <c r="H847">
        <v>0</v>
      </c>
      <c r="I847">
        <v>250</v>
      </c>
      <c r="J847">
        <v>0</v>
      </c>
      <c r="K847">
        <v>0</v>
      </c>
      <c r="L847">
        <v>0</v>
      </c>
      <c r="M847">
        <v>250</v>
      </c>
      <c r="N847">
        <v>0</v>
      </c>
      <c r="O847">
        <v>0</v>
      </c>
    </row>
    <row r="848" spans="1:15" x14ac:dyDescent="0.3">
      <c r="A848" t="s">
        <v>2288</v>
      </c>
      <c r="B848" t="s">
        <v>3354</v>
      </c>
      <c r="C848" t="s">
        <v>3355</v>
      </c>
      <c r="D848" t="s">
        <v>2284</v>
      </c>
      <c r="E848" t="s">
        <v>2285</v>
      </c>
      <c r="F848" t="s">
        <v>3356</v>
      </c>
      <c r="G848" t="s">
        <v>3357</v>
      </c>
      <c r="H848">
        <v>0</v>
      </c>
      <c r="I848">
        <v>250</v>
      </c>
      <c r="J848">
        <v>0</v>
      </c>
      <c r="K848">
        <v>0</v>
      </c>
      <c r="L848">
        <v>0</v>
      </c>
      <c r="M848">
        <v>250</v>
      </c>
      <c r="N848">
        <v>0</v>
      </c>
      <c r="O848">
        <v>0</v>
      </c>
    </row>
    <row r="849" spans="1:15" x14ac:dyDescent="0.3">
      <c r="A849" t="s">
        <v>2288</v>
      </c>
      <c r="B849" t="s">
        <v>3358</v>
      </c>
      <c r="C849" t="s">
        <v>3359</v>
      </c>
      <c r="D849" t="s">
        <v>2284</v>
      </c>
      <c r="E849" t="s">
        <v>2285</v>
      </c>
      <c r="F849" t="s">
        <v>3360</v>
      </c>
      <c r="G849" t="s">
        <v>3361</v>
      </c>
      <c r="H849">
        <v>0</v>
      </c>
      <c r="I849">
        <v>250</v>
      </c>
      <c r="J849">
        <v>0</v>
      </c>
      <c r="K849">
        <v>0</v>
      </c>
      <c r="L849">
        <v>0</v>
      </c>
      <c r="M849">
        <v>250</v>
      </c>
      <c r="N849">
        <v>0</v>
      </c>
      <c r="O849">
        <v>0</v>
      </c>
    </row>
    <row r="850" spans="1:15" x14ac:dyDescent="0.3">
      <c r="A850" t="s">
        <v>2288</v>
      </c>
      <c r="B850" t="s">
        <v>3362</v>
      </c>
      <c r="C850" t="s">
        <v>3363</v>
      </c>
      <c r="D850" t="s">
        <v>2284</v>
      </c>
      <c r="E850" t="s">
        <v>2285</v>
      </c>
      <c r="F850" t="s">
        <v>3364</v>
      </c>
      <c r="G850" t="s">
        <v>3365</v>
      </c>
      <c r="H850">
        <v>0</v>
      </c>
      <c r="I850">
        <v>7701</v>
      </c>
      <c r="J850">
        <v>3614</v>
      </c>
      <c r="K850">
        <v>0</v>
      </c>
      <c r="L850">
        <v>0</v>
      </c>
      <c r="M850">
        <v>2669</v>
      </c>
      <c r="N850">
        <v>0</v>
      </c>
      <c r="O850">
        <v>0</v>
      </c>
    </row>
    <row r="851" spans="1:15" x14ac:dyDescent="0.3">
      <c r="A851" t="s">
        <v>2288</v>
      </c>
      <c r="B851" t="s">
        <v>3366</v>
      </c>
      <c r="C851" t="s">
        <v>3367</v>
      </c>
      <c r="D851" t="s">
        <v>2284</v>
      </c>
      <c r="E851" t="s">
        <v>2285</v>
      </c>
      <c r="F851" t="s">
        <v>3368</v>
      </c>
      <c r="G851" t="s">
        <v>3369</v>
      </c>
      <c r="H851">
        <v>0</v>
      </c>
      <c r="I851">
        <v>250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 x14ac:dyDescent="0.3">
      <c r="A852" t="s">
        <v>2288</v>
      </c>
      <c r="B852" t="s">
        <v>3370</v>
      </c>
      <c r="C852" t="s">
        <v>3371</v>
      </c>
      <c r="D852" t="s">
        <v>2284</v>
      </c>
      <c r="E852" t="s">
        <v>2285</v>
      </c>
      <c r="F852" t="s">
        <v>3372</v>
      </c>
      <c r="G852" t="s">
        <v>3373</v>
      </c>
      <c r="H852">
        <v>0</v>
      </c>
      <c r="I852">
        <v>250</v>
      </c>
      <c r="J852">
        <v>0</v>
      </c>
      <c r="K852">
        <v>0</v>
      </c>
      <c r="L852">
        <v>0</v>
      </c>
      <c r="M852">
        <v>250</v>
      </c>
      <c r="N852">
        <v>0</v>
      </c>
      <c r="O852">
        <v>0</v>
      </c>
    </row>
    <row r="853" spans="1:15" x14ac:dyDescent="0.3">
      <c r="A853" t="s">
        <v>2288</v>
      </c>
      <c r="B853" t="s">
        <v>3374</v>
      </c>
      <c r="C853" t="s">
        <v>3375</v>
      </c>
      <c r="D853" t="s">
        <v>2284</v>
      </c>
      <c r="E853" t="s">
        <v>2285</v>
      </c>
      <c r="F853" t="s">
        <v>3376</v>
      </c>
      <c r="G853" t="s">
        <v>3377</v>
      </c>
      <c r="H853">
        <v>0</v>
      </c>
      <c r="I853">
        <v>250</v>
      </c>
      <c r="J853">
        <v>0</v>
      </c>
      <c r="K853">
        <v>0</v>
      </c>
      <c r="L853">
        <v>0</v>
      </c>
      <c r="M853">
        <v>250</v>
      </c>
      <c r="N853">
        <v>0</v>
      </c>
      <c r="O853">
        <v>0</v>
      </c>
    </row>
    <row r="854" spans="1:15" x14ac:dyDescent="0.3">
      <c r="A854" t="s">
        <v>2288</v>
      </c>
      <c r="B854" t="s">
        <v>3378</v>
      </c>
      <c r="C854" t="s">
        <v>3379</v>
      </c>
      <c r="D854" t="s">
        <v>2284</v>
      </c>
      <c r="E854" t="s">
        <v>2285</v>
      </c>
      <c r="F854" t="s">
        <v>3380</v>
      </c>
      <c r="G854" t="s">
        <v>3381</v>
      </c>
      <c r="H854">
        <v>0</v>
      </c>
      <c r="I854">
        <v>250</v>
      </c>
      <c r="J854">
        <v>0</v>
      </c>
      <c r="K854">
        <v>0</v>
      </c>
      <c r="L854">
        <v>0</v>
      </c>
      <c r="M854">
        <v>250</v>
      </c>
      <c r="N854">
        <v>0</v>
      </c>
      <c r="O854">
        <v>0</v>
      </c>
    </row>
    <row r="855" spans="1:15" x14ac:dyDescent="0.3">
      <c r="A855" t="s">
        <v>2288</v>
      </c>
      <c r="B855" t="s">
        <v>3382</v>
      </c>
      <c r="C855" t="s">
        <v>3383</v>
      </c>
      <c r="D855" t="s">
        <v>2284</v>
      </c>
      <c r="E855" t="s">
        <v>2285</v>
      </c>
      <c r="F855" t="s">
        <v>3384</v>
      </c>
      <c r="G855">
        <f>255754326725 / 255687254335</f>
        <v>1.0002623219924451</v>
      </c>
      <c r="H855">
        <v>0</v>
      </c>
      <c r="I855">
        <v>250</v>
      </c>
      <c r="J855">
        <v>0</v>
      </c>
      <c r="K855">
        <v>0</v>
      </c>
      <c r="L855">
        <v>0</v>
      </c>
      <c r="M855">
        <v>250</v>
      </c>
      <c r="N855">
        <v>0</v>
      </c>
      <c r="O855">
        <v>0</v>
      </c>
    </row>
    <row r="856" spans="1:15" x14ac:dyDescent="0.3">
      <c r="A856" t="s">
        <v>2288</v>
      </c>
      <c r="B856" t="s">
        <v>3385</v>
      </c>
      <c r="C856" t="s">
        <v>3386</v>
      </c>
      <c r="D856" t="s">
        <v>2284</v>
      </c>
      <c r="E856" t="s">
        <v>2285</v>
      </c>
      <c r="F856" t="s">
        <v>3387</v>
      </c>
      <c r="G856" t="s">
        <v>3388</v>
      </c>
      <c r="H856">
        <v>0</v>
      </c>
      <c r="I856">
        <v>3265</v>
      </c>
      <c r="J856">
        <v>0</v>
      </c>
      <c r="K856">
        <v>229</v>
      </c>
      <c r="L856">
        <v>0</v>
      </c>
      <c r="M856">
        <v>2252</v>
      </c>
      <c r="N856">
        <v>1508</v>
      </c>
      <c r="O856">
        <v>0</v>
      </c>
    </row>
    <row r="857" spans="1:15" x14ac:dyDescent="0.3">
      <c r="A857" t="s">
        <v>2288</v>
      </c>
      <c r="B857" t="s">
        <v>3389</v>
      </c>
      <c r="C857" t="s">
        <v>3390</v>
      </c>
      <c r="D857" t="s">
        <v>2284</v>
      </c>
      <c r="E857" t="s">
        <v>2285</v>
      </c>
      <c r="F857" t="s">
        <v>3391</v>
      </c>
      <c r="G857" t="s">
        <v>3392</v>
      </c>
      <c r="H857">
        <v>0</v>
      </c>
      <c r="I857">
        <v>962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 x14ac:dyDescent="0.3">
      <c r="A858" t="s">
        <v>2288</v>
      </c>
      <c r="B858" t="s">
        <v>3393</v>
      </c>
      <c r="C858" t="s">
        <v>3394</v>
      </c>
      <c r="D858" t="s">
        <v>2284</v>
      </c>
      <c r="E858" t="s">
        <v>2285</v>
      </c>
      <c r="F858" t="s">
        <v>3395</v>
      </c>
      <c r="G858" t="s">
        <v>3396</v>
      </c>
      <c r="H858">
        <v>0</v>
      </c>
      <c r="I858">
        <v>250</v>
      </c>
      <c r="J858">
        <v>0</v>
      </c>
      <c r="K858">
        <v>0</v>
      </c>
      <c r="L858">
        <v>0</v>
      </c>
      <c r="M858">
        <v>250</v>
      </c>
      <c r="N858">
        <v>0</v>
      </c>
      <c r="O858">
        <v>0</v>
      </c>
    </row>
    <row r="859" spans="1:15" x14ac:dyDescent="0.3">
      <c r="A859" t="s">
        <v>2288</v>
      </c>
      <c r="B859" t="s">
        <v>3397</v>
      </c>
      <c r="C859" t="s">
        <v>3398</v>
      </c>
      <c r="D859" t="s">
        <v>2284</v>
      </c>
      <c r="E859" t="s">
        <v>2285</v>
      </c>
      <c r="F859" t="s">
        <v>3399</v>
      </c>
      <c r="G859" t="s">
        <v>3400</v>
      </c>
      <c r="H859">
        <v>0</v>
      </c>
      <c r="I859">
        <v>1651</v>
      </c>
      <c r="J859">
        <v>0</v>
      </c>
      <c r="K859">
        <v>0</v>
      </c>
      <c r="L859">
        <v>0</v>
      </c>
      <c r="M859">
        <v>101</v>
      </c>
      <c r="N859">
        <v>1401</v>
      </c>
      <c r="O859">
        <v>1550</v>
      </c>
    </row>
    <row r="860" spans="1:15" x14ac:dyDescent="0.3">
      <c r="A860" t="s">
        <v>2288</v>
      </c>
      <c r="B860" t="s">
        <v>3401</v>
      </c>
      <c r="C860" t="s">
        <v>3402</v>
      </c>
      <c r="D860" t="s">
        <v>2284</v>
      </c>
      <c r="E860" t="s">
        <v>2285</v>
      </c>
      <c r="F860" t="s">
        <v>3403</v>
      </c>
      <c r="G860" t="s">
        <v>3404</v>
      </c>
      <c r="H860">
        <v>0</v>
      </c>
      <c r="I860">
        <v>250</v>
      </c>
      <c r="J860">
        <v>0</v>
      </c>
      <c r="K860">
        <v>0</v>
      </c>
      <c r="L860">
        <v>0</v>
      </c>
      <c r="M860">
        <v>250</v>
      </c>
      <c r="N860">
        <v>0</v>
      </c>
      <c r="O860">
        <v>0</v>
      </c>
    </row>
    <row r="861" spans="1:15" x14ac:dyDescent="0.3">
      <c r="A861" t="s">
        <v>2288</v>
      </c>
      <c r="B861" t="s">
        <v>3405</v>
      </c>
      <c r="C861" t="s">
        <v>3406</v>
      </c>
      <c r="D861" t="s">
        <v>2284</v>
      </c>
      <c r="E861" t="s">
        <v>2285</v>
      </c>
      <c r="F861" t="s">
        <v>3407</v>
      </c>
      <c r="G861" t="s">
        <v>3408</v>
      </c>
      <c r="H861">
        <v>0</v>
      </c>
      <c r="I861">
        <v>250</v>
      </c>
      <c r="J861">
        <v>3628</v>
      </c>
      <c r="K861">
        <v>0</v>
      </c>
      <c r="L861">
        <v>0</v>
      </c>
      <c r="M861">
        <v>250</v>
      </c>
      <c r="N861">
        <v>0</v>
      </c>
      <c r="O861">
        <v>0</v>
      </c>
    </row>
    <row r="862" spans="1:15" x14ac:dyDescent="0.3">
      <c r="A862" t="s">
        <v>2288</v>
      </c>
      <c r="B862" t="s">
        <v>3409</v>
      </c>
      <c r="C862" t="s">
        <v>3410</v>
      </c>
      <c r="D862" t="s">
        <v>2284</v>
      </c>
      <c r="E862" t="s">
        <v>2285</v>
      </c>
      <c r="F862" t="s">
        <v>3411</v>
      </c>
      <c r="G862" t="s">
        <v>3412</v>
      </c>
      <c r="H862">
        <v>0</v>
      </c>
      <c r="I862">
        <v>250</v>
      </c>
      <c r="J862">
        <v>0</v>
      </c>
      <c r="K862">
        <v>0</v>
      </c>
      <c r="L862">
        <v>0</v>
      </c>
      <c r="M862">
        <v>250</v>
      </c>
      <c r="N862">
        <v>0</v>
      </c>
      <c r="O862">
        <v>0</v>
      </c>
    </row>
    <row r="863" spans="1:15" x14ac:dyDescent="0.3">
      <c r="A863" t="s">
        <v>2288</v>
      </c>
      <c r="B863" t="s">
        <v>3413</v>
      </c>
      <c r="C863" t="s">
        <v>3414</v>
      </c>
      <c r="D863" t="s">
        <v>2284</v>
      </c>
      <c r="E863" t="s">
        <v>2285</v>
      </c>
      <c r="F863" t="s">
        <v>3415</v>
      </c>
      <c r="G863" t="s">
        <v>3416</v>
      </c>
      <c r="H863">
        <v>0</v>
      </c>
      <c r="I863">
        <v>471</v>
      </c>
      <c r="J863">
        <v>0</v>
      </c>
      <c r="K863">
        <v>187</v>
      </c>
      <c r="L863">
        <v>0</v>
      </c>
      <c r="M863">
        <v>471</v>
      </c>
      <c r="N863">
        <v>221</v>
      </c>
      <c r="O863">
        <v>0</v>
      </c>
    </row>
    <row r="864" spans="1:15" x14ac:dyDescent="0.3">
      <c r="A864" t="s">
        <v>2288</v>
      </c>
      <c r="B864" t="s">
        <v>3417</v>
      </c>
      <c r="C864" t="s">
        <v>3418</v>
      </c>
      <c r="D864" t="s">
        <v>2284</v>
      </c>
      <c r="E864" t="s">
        <v>2285</v>
      </c>
      <c r="F864" t="s">
        <v>3419</v>
      </c>
      <c r="G864" t="s">
        <v>3420</v>
      </c>
      <c r="H864">
        <v>0</v>
      </c>
      <c r="I864">
        <v>250</v>
      </c>
      <c r="J864">
        <v>0</v>
      </c>
      <c r="K864">
        <v>0</v>
      </c>
      <c r="L864">
        <v>0</v>
      </c>
      <c r="M864">
        <v>250</v>
      </c>
      <c r="N864">
        <v>0</v>
      </c>
      <c r="O864">
        <v>0</v>
      </c>
    </row>
    <row r="865" spans="1:15" x14ac:dyDescent="0.3">
      <c r="A865" t="s">
        <v>2288</v>
      </c>
      <c r="B865" t="s">
        <v>3421</v>
      </c>
      <c r="C865" t="s">
        <v>3422</v>
      </c>
      <c r="D865" t="s">
        <v>2284</v>
      </c>
      <c r="E865" t="s">
        <v>2285</v>
      </c>
      <c r="F865" t="s">
        <v>3423</v>
      </c>
      <c r="G865" t="s">
        <v>3424</v>
      </c>
      <c r="H865">
        <v>0</v>
      </c>
      <c r="I865">
        <v>250</v>
      </c>
      <c r="J865">
        <v>0</v>
      </c>
      <c r="K865">
        <v>0</v>
      </c>
      <c r="L865">
        <v>0</v>
      </c>
      <c r="M865">
        <v>250</v>
      </c>
      <c r="N865">
        <v>0</v>
      </c>
      <c r="O865">
        <v>0</v>
      </c>
    </row>
    <row r="866" spans="1:15" x14ac:dyDescent="0.3">
      <c r="A866" t="s">
        <v>2288</v>
      </c>
      <c r="B866" t="s">
        <v>3425</v>
      </c>
      <c r="C866" t="s">
        <v>3426</v>
      </c>
      <c r="D866" t="s">
        <v>2284</v>
      </c>
      <c r="E866" t="s">
        <v>2285</v>
      </c>
      <c r="F866" t="s">
        <v>3427</v>
      </c>
      <c r="G866" t="s">
        <v>3428</v>
      </c>
      <c r="H866">
        <v>0</v>
      </c>
      <c r="I866">
        <v>250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 x14ac:dyDescent="0.3">
      <c r="A867" t="s">
        <v>2288</v>
      </c>
      <c r="B867" t="s">
        <v>3429</v>
      </c>
      <c r="C867" t="s">
        <v>3430</v>
      </c>
      <c r="D867" t="s">
        <v>2284</v>
      </c>
      <c r="E867" t="s">
        <v>2285</v>
      </c>
      <c r="F867" t="s">
        <v>3431</v>
      </c>
      <c r="G867" t="s">
        <v>3432</v>
      </c>
      <c r="H867">
        <v>0</v>
      </c>
      <c r="I867">
        <v>250</v>
      </c>
      <c r="J867">
        <v>788</v>
      </c>
      <c r="K867">
        <v>0</v>
      </c>
      <c r="L867">
        <v>0</v>
      </c>
      <c r="M867">
        <v>250</v>
      </c>
      <c r="N867">
        <v>0</v>
      </c>
      <c r="O867">
        <v>0</v>
      </c>
    </row>
    <row r="868" spans="1:15" x14ac:dyDescent="0.3">
      <c r="A868" t="s">
        <v>2288</v>
      </c>
      <c r="B868" t="s">
        <v>3433</v>
      </c>
      <c r="C868" t="s">
        <v>3434</v>
      </c>
      <c r="D868" t="s">
        <v>2284</v>
      </c>
      <c r="E868" t="s">
        <v>2285</v>
      </c>
      <c r="F868" t="s">
        <v>3435</v>
      </c>
      <c r="G868" t="s">
        <v>3436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 x14ac:dyDescent="0.3">
      <c r="A869" t="s">
        <v>2288</v>
      </c>
      <c r="B869" t="s">
        <v>3437</v>
      </c>
      <c r="C869" t="s">
        <v>3438</v>
      </c>
      <c r="D869" t="s">
        <v>2284</v>
      </c>
      <c r="E869" t="s">
        <v>2285</v>
      </c>
      <c r="F869" t="s">
        <v>3439</v>
      </c>
      <c r="G869" t="s">
        <v>3440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 x14ac:dyDescent="0.3">
      <c r="A870" t="s">
        <v>2288</v>
      </c>
      <c r="B870" t="s">
        <v>3441</v>
      </c>
      <c r="C870" t="s">
        <v>3442</v>
      </c>
      <c r="D870" t="s">
        <v>2284</v>
      </c>
      <c r="E870" t="s">
        <v>2285</v>
      </c>
      <c r="F870" t="s">
        <v>3443</v>
      </c>
      <c r="G870" t="s">
        <v>3444</v>
      </c>
      <c r="H870">
        <v>0</v>
      </c>
      <c r="I870">
        <v>250</v>
      </c>
      <c r="J870">
        <v>0</v>
      </c>
      <c r="K870">
        <v>0</v>
      </c>
      <c r="L870">
        <v>0</v>
      </c>
      <c r="M870">
        <v>250</v>
      </c>
      <c r="N870">
        <v>0</v>
      </c>
      <c r="O870">
        <v>0</v>
      </c>
    </row>
    <row r="871" spans="1:15" x14ac:dyDescent="0.3">
      <c r="A871" t="s">
        <v>2288</v>
      </c>
      <c r="B871" t="s">
        <v>3445</v>
      </c>
      <c r="C871" t="s">
        <v>3446</v>
      </c>
      <c r="D871" t="s">
        <v>2284</v>
      </c>
      <c r="E871" t="s">
        <v>2285</v>
      </c>
      <c r="F871" t="s">
        <v>3447</v>
      </c>
      <c r="G871" t="s">
        <v>3448</v>
      </c>
      <c r="H871">
        <v>0</v>
      </c>
      <c r="I871">
        <v>250</v>
      </c>
      <c r="J871">
        <v>0</v>
      </c>
      <c r="K871">
        <v>0</v>
      </c>
      <c r="L871">
        <v>0</v>
      </c>
      <c r="M871">
        <v>250</v>
      </c>
      <c r="N871">
        <v>0</v>
      </c>
      <c r="O871">
        <v>0</v>
      </c>
    </row>
    <row r="872" spans="1:15" x14ac:dyDescent="0.3">
      <c r="A872" t="s">
        <v>2288</v>
      </c>
      <c r="B872" t="s">
        <v>3449</v>
      </c>
      <c r="C872" t="s">
        <v>3450</v>
      </c>
      <c r="D872" t="s">
        <v>2284</v>
      </c>
      <c r="E872" t="s">
        <v>2285</v>
      </c>
      <c r="F872" t="s">
        <v>3451</v>
      </c>
      <c r="G872" t="s">
        <v>3452</v>
      </c>
      <c r="H872">
        <v>0</v>
      </c>
      <c r="I872">
        <v>4173</v>
      </c>
      <c r="J872">
        <v>0</v>
      </c>
      <c r="K872">
        <v>210</v>
      </c>
      <c r="L872">
        <v>2100</v>
      </c>
      <c r="M872">
        <v>4173</v>
      </c>
      <c r="N872">
        <v>0</v>
      </c>
      <c r="O872">
        <v>0</v>
      </c>
    </row>
    <row r="873" spans="1:15" x14ac:dyDescent="0.3">
      <c r="A873" t="s">
        <v>2288</v>
      </c>
      <c r="B873" t="s">
        <v>3453</v>
      </c>
      <c r="C873" t="s">
        <v>3454</v>
      </c>
      <c r="D873" t="s">
        <v>2284</v>
      </c>
      <c r="E873" t="s">
        <v>2285</v>
      </c>
      <c r="F873" t="s">
        <v>3455</v>
      </c>
      <c r="G873" t="s">
        <v>3456</v>
      </c>
      <c r="H873">
        <v>0</v>
      </c>
      <c r="I873">
        <v>803</v>
      </c>
      <c r="J873">
        <v>1452</v>
      </c>
      <c r="K873">
        <v>1148</v>
      </c>
      <c r="L873">
        <v>0</v>
      </c>
      <c r="M873">
        <v>803</v>
      </c>
      <c r="N873">
        <v>0</v>
      </c>
      <c r="O873">
        <v>0</v>
      </c>
    </row>
    <row r="874" spans="1:15" x14ac:dyDescent="0.3">
      <c r="A874" t="s">
        <v>2288</v>
      </c>
      <c r="B874" t="s">
        <v>3457</v>
      </c>
      <c r="C874" t="s">
        <v>3458</v>
      </c>
      <c r="D874" t="s">
        <v>2284</v>
      </c>
      <c r="E874" t="s">
        <v>2285</v>
      </c>
      <c r="F874" t="s">
        <v>3459</v>
      </c>
      <c r="G874" t="s">
        <v>3460</v>
      </c>
      <c r="H874">
        <v>1843</v>
      </c>
      <c r="I874">
        <v>2078</v>
      </c>
      <c r="J874">
        <v>5052</v>
      </c>
      <c r="K874">
        <v>0</v>
      </c>
      <c r="L874">
        <v>0</v>
      </c>
      <c r="M874">
        <v>2078</v>
      </c>
      <c r="N874">
        <v>0</v>
      </c>
      <c r="O874">
        <v>0</v>
      </c>
    </row>
    <row r="875" spans="1:15" x14ac:dyDescent="0.3">
      <c r="A875" t="s">
        <v>2288</v>
      </c>
      <c r="B875" t="s">
        <v>3461</v>
      </c>
      <c r="C875" t="s">
        <v>3462</v>
      </c>
      <c r="D875" t="s">
        <v>2284</v>
      </c>
      <c r="E875" t="s">
        <v>2285</v>
      </c>
      <c r="F875" t="s">
        <v>3463</v>
      </c>
      <c r="G875" t="s">
        <v>3464</v>
      </c>
      <c r="H875">
        <v>0</v>
      </c>
      <c r="I875">
        <v>595</v>
      </c>
      <c r="J875">
        <v>4905</v>
      </c>
      <c r="K875">
        <v>3960</v>
      </c>
      <c r="L875">
        <v>0</v>
      </c>
      <c r="M875">
        <v>595</v>
      </c>
      <c r="N875">
        <v>0</v>
      </c>
      <c r="O875">
        <v>0</v>
      </c>
    </row>
    <row r="876" spans="1:15" x14ac:dyDescent="0.3">
      <c r="A876" t="s">
        <v>2288</v>
      </c>
      <c r="B876" t="s">
        <v>3465</v>
      </c>
      <c r="C876" t="s">
        <v>3466</v>
      </c>
      <c r="D876" t="s">
        <v>2284</v>
      </c>
      <c r="E876" t="s">
        <v>2285</v>
      </c>
      <c r="F876" t="s">
        <v>3467</v>
      </c>
      <c r="G876" t="s">
        <v>3468</v>
      </c>
      <c r="H876">
        <v>7124</v>
      </c>
      <c r="I876">
        <v>3757</v>
      </c>
      <c r="J876">
        <v>169207</v>
      </c>
      <c r="K876">
        <v>46887</v>
      </c>
      <c r="L876">
        <v>7950</v>
      </c>
      <c r="M876">
        <v>3757</v>
      </c>
      <c r="N876">
        <v>0</v>
      </c>
      <c r="O876">
        <v>0</v>
      </c>
    </row>
    <row r="877" spans="1:15" x14ac:dyDescent="0.3">
      <c r="A877" t="s">
        <v>2288</v>
      </c>
      <c r="B877" t="s">
        <v>3469</v>
      </c>
      <c r="C877" t="s">
        <v>3470</v>
      </c>
      <c r="D877" t="s">
        <v>2284</v>
      </c>
      <c r="E877" t="s">
        <v>2285</v>
      </c>
      <c r="F877" t="s">
        <v>3471</v>
      </c>
      <c r="G877">
        <f>255784293513 / 255712653000</f>
        <v>1.0002801602195257</v>
      </c>
      <c r="H877">
        <v>0</v>
      </c>
      <c r="I877">
        <v>250</v>
      </c>
      <c r="J877">
        <v>0</v>
      </c>
      <c r="K877">
        <v>836</v>
      </c>
      <c r="L877">
        <v>0</v>
      </c>
      <c r="M877">
        <v>250</v>
      </c>
      <c r="N877">
        <v>0</v>
      </c>
      <c r="O877">
        <v>0</v>
      </c>
    </row>
    <row r="878" spans="1:15" x14ac:dyDescent="0.3">
      <c r="A878" t="s">
        <v>2288</v>
      </c>
      <c r="B878" t="s">
        <v>3472</v>
      </c>
      <c r="C878" t="s">
        <v>3473</v>
      </c>
      <c r="D878" t="s">
        <v>2284</v>
      </c>
      <c r="E878" t="s">
        <v>2285</v>
      </c>
      <c r="F878" t="s">
        <v>3474</v>
      </c>
      <c r="G878" t="s">
        <v>3475</v>
      </c>
      <c r="H878">
        <v>0</v>
      </c>
      <c r="I878">
        <v>250</v>
      </c>
      <c r="J878">
        <v>0</v>
      </c>
      <c r="K878">
        <v>0</v>
      </c>
      <c r="L878">
        <v>0</v>
      </c>
      <c r="M878">
        <v>250</v>
      </c>
      <c r="N878">
        <v>0</v>
      </c>
      <c r="O878">
        <v>0</v>
      </c>
    </row>
    <row r="879" spans="1:15" x14ac:dyDescent="0.3">
      <c r="A879" t="s">
        <v>2288</v>
      </c>
      <c r="B879" t="s">
        <v>3476</v>
      </c>
      <c r="C879" t="s">
        <v>3477</v>
      </c>
      <c r="D879" t="s">
        <v>2284</v>
      </c>
      <c r="E879" t="s">
        <v>2285</v>
      </c>
      <c r="F879" t="s">
        <v>3478</v>
      </c>
      <c r="G879" t="s">
        <v>3479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 x14ac:dyDescent="0.3">
      <c r="A880" t="s">
        <v>2288</v>
      </c>
      <c r="B880" t="s">
        <v>3480</v>
      </c>
      <c r="C880" t="s">
        <v>3481</v>
      </c>
      <c r="D880" t="s">
        <v>2284</v>
      </c>
      <c r="E880" t="s">
        <v>2285</v>
      </c>
      <c r="F880" t="s">
        <v>3482</v>
      </c>
      <c r="G880" t="s">
        <v>3483</v>
      </c>
      <c r="H880">
        <v>0</v>
      </c>
      <c r="I880">
        <v>250</v>
      </c>
      <c r="J880">
        <v>0</v>
      </c>
      <c r="K880">
        <v>0</v>
      </c>
      <c r="L880">
        <v>0</v>
      </c>
      <c r="M880">
        <v>250</v>
      </c>
      <c r="N880">
        <v>0</v>
      </c>
      <c r="O880">
        <v>0</v>
      </c>
    </row>
    <row r="881" spans="1:15" x14ac:dyDescent="0.3">
      <c r="A881" t="s">
        <v>2288</v>
      </c>
      <c r="B881" t="s">
        <v>3484</v>
      </c>
      <c r="C881" t="s">
        <v>3485</v>
      </c>
      <c r="D881" t="s">
        <v>2284</v>
      </c>
      <c r="E881" t="s">
        <v>2285</v>
      </c>
      <c r="F881" t="s">
        <v>3486</v>
      </c>
      <c r="G881" t="s">
        <v>3487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 x14ac:dyDescent="0.3">
      <c r="A882" t="s">
        <v>2288</v>
      </c>
      <c r="B882" t="s">
        <v>3488</v>
      </c>
      <c r="C882" t="s">
        <v>3489</v>
      </c>
      <c r="D882" t="s">
        <v>2284</v>
      </c>
      <c r="E882" t="s">
        <v>2285</v>
      </c>
      <c r="F882" t="s">
        <v>3490</v>
      </c>
      <c r="G882" t="s">
        <v>3491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 x14ac:dyDescent="0.3">
      <c r="A883" t="s">
        <v>2288</v>
      </c>
      <c r="B883" t="s">
        <v>3492</v>
      </c>
      <c r="C883" t="s">
        <v>3493</v>
      </c>
      <c r="D883" t="s">
        <v>2284</v>
      </c>
      <c r="E883" t="s">
        <v>2285</v>
      </c>
      <c r="F883" t="s">
        <v>3494</v>
      </c>
      <c r="G883" t="s">
        <v>3495</v>
      </c>
      <c r="H883">
        <v>0</v>
      </c>
      <c r="I883">
        <v>250</v>
      </c>
      <c r="J883">
        <v>0</v>
      </c>
      <c r="K883">
        <v>0</v>
      </c>
      <c r="L883">
        <v>0</v>
      </c>
      <c r="M883">
        <v>250</v>
      </c>
      <c r="N883">
        <v>0</v>
      </c>
      <c r="O883">
        <v>0</v>
      </c>
    </row>
    <row r="884" spans="1:15" x14ac:dyDescent="0.3">
      <c r="A884" t="s">
        <v>2288</v>
      </c>
      <c r="B884" t="s">
        <v>3496</v>
      </c>
      <c r="C884" t="s">
        <v>3497</v>
      </c>
      <c r="D884" t="s">
        <v>2284</v>
      </c>
      <c r="E884" t="s">
        <v>2285</v>
      </c>
      <c r="F884" t="s">
        <v>3498</v>
      </c>
      <c r="G884" t="s">
        <v>3499</v>
      </c>
      <c r="H884">
        <v>0</v>
      </c>
      <c r="I884">
        <v>250</v>
      </c>
      <c r="J884">
        <v>0</v>
      </c>
      <c r="K884">
        <v>0</v>
      </c>
      <c r="L884">
        <v>0</v>
      </c>
      <c r="M884">
        <v>250</v>
      </c>
      <c r="N884">
        <v>0</v>
      </c>
      <c r="O884">
        <v>0</v>
      </c>
    </row>
    <row r="885" spans="1:15" x14ac:dyDescent="0.3">
      <c r="A885" t="s">
        <v>2288</v>
      </c>
      <c r="B885" t="s">
        <v>3500</v>
      </c>
      <c r="C885" t="s">
        <v>3501</v>
      </c>
      <c r="D885" t="s">
        <v>2284</v>
      </c>
      <c r="E885" t="s">
        <v>2285</v>
      </c>
      <c r="F885" t="s">
        <v>3502</v>
      </c>
      <c r="G885" t="s">
        <v>3503</v>
      </c>
      <c r="H885">
        <v>0</v>
      </c>
      <c r="I885">
        <v>250</v>
      </c>
      <c r="J885">
        <v>0</v>
      </c>
      <c r="K885">
        <v>1795</v>
      </c>
      <c r="L885">
        <v>0</v>
      </c>
      <c r="M885">
        <v>250</v>
      </c>
      <c r="N885">
        <v>0</v>
      </c>
      <c r="O885">
        <v>0</v>
      </c>
    </row>
    <row r="886" spans="1:15" x14ac:dyDescent="0.3">
      <c r="A886" t="s">
        <v>2288</v>
      </c>
      <c r="B886" t="s">
        <v>3504</v>
      </c>
      <c r="C886" t="s">
        <v>3505</v>
      </c>
      <c r="D886" t="s">
        <v>2284</v>
      </c>
      <c r="E886" t="s">
        <v>2285</v>
      </c>
      <c r="F886" t="s">
        <v>3506</v>
      </c>
      <c r="G886" t="s">
        <v>3507</v>
      </c>
      <c r="H886">
        <v>0</v>
      </c>
      <c r="I886">
        <v>250</v>
      </c>
      <c r="J886">
        <v>1937</v>
      </c>
      <c r="K886">
        <v>0</v>
      </c>
      <c r="L886">
        <v>0</v>
      </c>
      <c r="M886">
        <v>250</v>
      </c>
      <c r="N886">
        <v>0</v>
      </c>
      <c r="O886">
        <v>0</v>
      </c>
    </row>
    <row r="887" spans="1:15" x14ac:dyDescent="0.3">
      <c r="A887" t="s">
        <v>2288</v>
      </c>
      <c r="B887" t="s">
        <v>3508</v>
      </c>
      <c r="C887" t="s">
        <v>3509</v>
      </c>
      <c r="D887" t="s">
        <v>2284</v>
      </c>
      <c r="E887" t="s">
        <v>2285</v>
      </c>
      <c r="F887" t="s">
        <v>3510</v>
      </c>
      <c r="G887" t="s">
        <v>3511</v>
      </c>
      <c r="H887">
        <v>0</v>
      </c>
      <c r="I887">
        <v>2796</v>
      </c>
      <c r="J887">
        <v>0</v>
      </c>
      <c r="K887">
        <v>0</v>
      </c>
      <c r="L887">
        <v>0</v>
      </c>
      <c r="M887">
        <v>250</v>
      </c>
      <c r="N887">
        <v>0</v>
      </c>
      <c r="O887">
        <v>0</v>
      </c>
    </row>
    <row r="888" spans="1:15" x14ac:dyDescent="0.3">
      <c r="A888" t="s">
        <v>2288</v>
      </c>
      <c r="B888" t="s">
        <v>3512</v>
      </c>
      <c r="C888" t="s">
        <v>3513</v>
      </c>
      <c r="D888" t="s">
        <v>2284</v>
      </c>
      <c r="E888" t="s">
        <v>2285</v>
      </c>
      <c r="F888" t="s">
        <v>3514</v>
      </c>
      <c r="G888" t="s">
        <v>3515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3">
      <c r="A889" t="s">
        <v>2288</v>
      </c>
      <c r="B889" t="s">
        <v>3516</v>
      </c>
      <c r="C889" t="s">
        <v>3517</v>
      </c>
      <c r="D889" t="s">
        <v>2284</v>
      </c>
      <c r="E889" t="s">
        <v>2285</v>
      </c>
      <c r="F889" t="s">
        <v>3518</v>
      </c>
      <c r="G889" t="s">
        <v>3519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 x14ac:dyDescent="0.3">
      <c r="A890" t="s">
        <v>2288</v>
      </c>
      <c r="B890" t="s">
        <v>3520</v>
      </c>
      <c r="C890" t="s">
        <v>3521</v>
      </c>
      <c r="D890" t="s">
        <v>2284</v>
      </c>
      <c r="E890" t="s">
        <v>2285</v>
      </c>
      <c r="F890" t="s">
        <v>3522</v>
      </c>
      <c r="G890" t="s">
        <v>3523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 x14ac:dyDescent="0.3">
      <c r="A891" t="s">
        <v>2288</v>
      </c>
      <c r="B891" t="s">
        <v>3524</v>
      </c>
      <c r="C891" t="s">
        <v>3525</v>
      </c>
      <c r="D891" t="s">
        <v>2284</v>
      </c>
      <c r="E891" t="s">
        <v>2285</v>
      </c>
      <c r="F891" t="s">
        <v>3526</v>
      </c>
      <c r="G891" t="s">
        <v>3527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 x14ac:dyDescent="0.3">
      <c r="A892" t="s">
        <v>2288</v>
      </c>
      <c r="B892" t="s">
        <v>3528</v>
      </c>
      <c r="C892" t="s">
        <v>3529</v>
      </c>
      <c r="D892" t="s">
        <v>2284</v>
      </c>
      <c r="E892" t="s">
        <v>2285</v>
      </c>
      <c r="F892" t="s">
        <v>3530</v>
      </c>
      <c r="G892" t="s">
        <v>3531</v>
      </c>
      <c r="H892">
        <v>22705</v>
      </c>
      <c r="I892">
        <v>77657</v>
      </c>
      <c r="J892">
        <v>167720</v>
      </c>
      <c r="K892">
        <v>2220</v>
      </c>
      <c r="L892">
        <v>4700</v>
      </c>
      <c r="M892">
        <v>1171</v>
      </c>
      <c r="N892">
        <v>0</v>
      </c>
      <c r="O892">
        <v>73400</v>
      </c>
    </row>
    <row r="893" spans="1:15" x14ac:dyDescent="0.3">
      <c r="A893" t="s">
        <v>2288</v>
      </c>
      <c r="B893" t="s">
        <v>3532</v>
      </c>
      <c r="C893" t="s">
        <v>3533</v>
      </c>
      <c r="D893" t="s">
        <v>2284</v>
      </c>
      <c r="E893" t="s">
        <v>2285</v>
      </c>
      <c r="F893" t="s">
        <v>3534</v>
      </c>
      <c r="G893" t="s">
        <v>3535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 x14ac:dyDescent="0.3">
      <c r="A894" t="s">
        <v>2288</v>
      </c>
      <c r="B894" t="s">
        <v>3536</v>
      </c>
      <c r="C894" t="s">
        <v>3537</v>
      </c>
      <c r="D894" t="s">
        <v>2284</v>
      </c>
      <c r="E894" t="s">
        <v>2285</v>
      </c>
      <c r="F894" t="s">
        <v>3538</v>
      </c>
      <c r="G894" t="s">
        <v>3539</v>
      </c>
      <c r="H894">
        <v>0</v>
      </c>
      <c r="I894">
        <v>250</v>
      </c>
      <c r="J894">
        <v>0</v>
      </c>
      <c r="K894">
        <v>888</v>
      </c>
      <c r="L894">
        <v>0</v>
      </c>
      <c r="M894">
        <v>250</v>
      </c>
      <c r="N894">
        <v>0</v>
      </c>
      <c r="O894">
        <v>0</v>
      </c>
    </row>
    <row r="895" spans="1:15" x14ac:dyDescent="0.3">
      <c r="A895" t="s">
        <v>2288</v>
      </c>
      <c r="B895" t="s">
        <v>3540</v>
      </c>
      <c r="C895" t="s">
        <v>3541</v>
      </c>
      <c r="D895" t="s">
        <v>2284</v>
      </c>
      <c r="E895" t="s">
        <v>2285</v>
      </c>
      <c r="F895" t="s">
        <v>3542</v>
      </c>
      <c r="G895" t="s">
        <v>3543</v>
      </c>
      <c r="H895">
        <v>0</v>
      </c>
      <c r="I895">
        <v>250</v>
      </c>
      <c r="J895">
        <v>0</v>
      </c>
      <c r="K895">
        <v>0</v>
      </c>
      <c r="L895">
        <v>0</v>
      </c>
      <c r="M895">
        <v>250</v>
      </c>
      <c r="N895">
        <v>0</v>
      </c>
      <c r="O895">
        <v>0</v>
      </c>
    </row>
    <row r="896" spans="1:15" x14ac:dyDescent="0.3">
      <c r="A896" t="s">
        <v>2288</v>
      </c>
      <c r="B896" t="s">
        <v>3544</v>
      </c>
      <c r="C896" t="s">
        <v>3545</v>
      </c>
      <c r="D896" t="s">
        <v>2284</v>
      </c>
      <c r="E896" t="s">
        <v>2285</v>
      </c>
      <c r="F896" t="s">
        <v>3546</v>
      </c>
      <c r="G896" t="s">
        <v>3547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3">
      <c r="A897" t="s">
        <v>2288</v>
      </c>
      <c r="B897" t="s">
        <v>3548</v>
      </c>
      <c r="C897" t="s">
        <v>3549</v>
      </c>
      <c r="D897" t="s">
        <v>2284</v>
      </c>
      <c r="E897" t="s">
        <v>2285</v>
      </c>
      <c r="F897" t="s">
        <v>3550</v>
      </c>
      <c r="G897" t="s">
        <v>3551</v>
      </c>
      <c r="H897">
        <v>0</v>
      </c>
      <c r="I897">
        <v>250</v>
      </c>
      <c r="J897">
        <v>0</v>
      </c>
      <c r="K897">
        <v>0</v>
      </c>
      <c r="L897">
        <v>0</v>
      </c>
      <c r="M897">
        <v>250</v>
      </c>
      <c r="N897">
        <v>0</v>
      </c>
      <c r="O897">
        <v>0</v>
      </c>
    </row>
    <row r="898" spans="1:15" x14ac:dyDescent="0.3">
      <c r="A898" t="s">
        <v>2288</v>
      </c>
      <c r="B898" t="s">
        <v>3552</v>
      </c>
      <c r="C898" t="s">
        <v>3553</v>
      </c>
      <c r="D898" t="s">
        <v>2284</v>
      </c>
      <c r="E898" t="s">
        <v>2285</v>
      </c>
      <c r="F898" t="s">
        <v>3554</v>
      </c>
      <c r="G898" t="s">
        <v>3555</v>
      </c>
      <c r="H898">
        <v>0</v>
      </c>
      <c r="I898">
        <v>2709</v>
      </c>
      <c r="J898">
        <v>3323</v>
      </c>
      <c r="K898">
        <v>0</v>
      </c>
      <c r="L898">
        <v>6750</v>
      </c>
      <c r="M898">
        <v>1921</v>
      </c>
      <c r="N898">
        <v>0</v>
      </c>
      <c r="O898">
        <v>0</v>
      </c>
    </row>
    <row r="899" spans="1:15" x14ac:dyDescent="0.3">
      <c r="A899" t="s">
        <v>2288</v>
      </c>
      <c r="B899" t="s">
        <v>3556</v>
      </c>
      <c r="C899" t="s">
        <v>3557</v>
      </c>
      <c r="D899" t="s">
        <v>2284</v>
      </c>
      <c r="E899" t="s">
        <v>2285</v>
      </c>
      <c r="F899" t="s">
        <v>3558</v>
      </c>
      <c r="G899" t="s">
        <v>3559</v>
      </c>
      <c r="H899">
        <v>0</v>
      </c>
      <c r="I899">
        <v>250</v>
      </c>
      <c r="J899">
        <v>0</v>
      </c>
      <c r="K899">
        <v>0</v>
      </c>
      <c r="L899">
        <v>0</v>
      </c>
      <c r="M899">
        <v>250</v>
      </c>
      <c r="N899">
        <v>0</v>
      </c>
      <c r="O899">
        <v>0</v>
      </c>
    </row>
    <row r="900" spans="1:15" x14ac:dyDescent="0.3">
      <c r="A900" t="s">
        <v>2288</v>
      </c>
      <c r="B900" t="s">
        <v>3560</v>
      </c>
      <c r="C900" t="s">
        <v>3561</v>
      </c>
      <c r="D900" t="s">
        <v>2284</v>
      </c>
      <c r="E900" t="s">
        <v>2285</v>
      </c>
      <c r="F900" t="s">
        <v>3562</v>
      </c>
      <c r="G900" t="s">
        <v>3563</v>
      </c>
      <c r="H900">
        <v>0</v>
      </c>
      <c r="I900">
        <v>250</v>
      </c>
      <c r="J900">
        <v>0</v>
      </c>
      <c r="K900">
        <v>0</v>
      </c>
      <c r="L900">
        <v>0</v>
      </c>
      <c r="M900">
        <v>250</v>
      </c>
      <c r="N900">
        <v>0</v>
      </c>
      <c r="O900">
        <v>0</v>
      </c>
    </row>
    <row r="901" spans="1:15" x14ac:dyDescent="0.3">
      <c r="A901" t="s">
        <v>2288</v>
      </c>
      <c r="B901" t="s">
        <v>3564</v>
      </c>
      <c r="C901" t="s">
        <v>3565</v>
      </c>
      <c r="D901" t="s">
        <v>2284</v>
      </c>
      <c r="E901" t="s">
        <v>2285</v>
      </c>
      <c r="F901" t="s">
        <v>3566</v>
      </c>
      <c r="G901" t="s">
        <v>3567</v>
      </c>
      <c r="H901">
        <v>0</v>
      </c>
      <c r="I901">
        <v>250</v>
      </c>
      <c r="J901">
        <v>0</v>
      </c>
      <c r="K901">
        <v>0</v>
      </c>
      <c r="L901">
        <v>0</v>
      </c>
      <c r="M901">
        <v>250</v>
      </c>
      <c r="N901">
        <v>0</v>
      </c>
      <c r="O901">
        <v>0</v>
      </c>
    </row>
    <row r="902" spans="1:15" x14ac:dyDescent="0.3">
      <c r="A902" t="s">
        <v>2288</v>
      </c>
      <c r="B902" t="s">
        <v>3568</v>
      </c>
      <c r="C902" t="s">
        <v>3569</v>
      </c>
      <c r="D902" t="s">
        <v>2284</v>
      </c>
      <c r="E902" t="s">
        <v>2285</v>
      </c>
      <c r="F902" t="s">
        <v>3570</v>
      </c>
      <c r="G902" t="s">
        <v>3571</v>
      </c>
      <c r="H902">
        <v>0</v>
      </c>
      <c r="I902">
        <v>250</v>
      </c>
      <c r="J902">
        <v>0</v>
      </c>
      <c r="K902">
        <v>0</v>
      </c>
      <c r="L902">
        <v>0</v>
      </c>
      <c r="M902">
        <v>250</v>
      </c>
      <c r="N902">
        <v>0</v>
      </c>
      <c r="O902">
        <v>0</v>
      </c>
    </row>
    <row r="903" spans="1:15" x14ac:dyDescent="0.3">
      <c r="A903" t="s">
        <v>2288</v>
      </c>
      <c r="B903" t="s">
        <v>3572</v>
      </c>
      <c r="C903" t="s">
        <v>3573</v>
      </c>
      <c r="D903" t="s">
        <v>2284</v>
      </c>
      <c r="E903" t="s">
        <v>2285</v>
      </c>
      <c r="F903" t="s">
        <v>3574</v>
      </c>
      <c r="G903" t="s">
        <v>3575</v>
      </c>
      <c r="H903">
        <v>672</v>
      </c>
      <c r="I903">
        <v>2305</v>
      </c>
      <c r="J903">
        <v>379</v>
      </c>
      <c r="K903">
        <v>0</v>
      </c>
      <c r="L903">
        <v>0</v>
      </c>
      <c r="M903">
        <v>250</v>
      </c>
      <c r="N903">
        <v>0</v>
      </c>
      <c r="O903">
        <v>0</v>
      </c>
    </row>
    <row r="904" spans="1:15" x14ac:dyDescent="0.3">
      <c r="A904" t="s">
        <v>2288</v>
      </c>
      <c r="B904" t="s">
        <v>3576</v>
      </c>
      <c r="C904" t="s">
        <v>3577</v>
      </c>
      <c r="D904" t="s">
        <v>2284</v>
      </c>
      <c r="E904" t="s">
        <v>2285</v>
      </c>
      <c r="F904" t="s">
        <v>3578</v>
      </c>
      <c r="G904" t="s">
        <v>3579</v>
      </c>
      <c r="H904">
        <v>0</v>
      </c>
      <c r="I904">
        <v>250</v>
      </c>
      <c r="J904">
        <v>0</v>
      </c>
      <c r="K904">
        <v>0</v>
      </c>
      <c r="L904">
        <v>0</v>
      </c>
      <c r="M904">
        <v>250</v>
      </c>
      <c r="N904">
        <v>0</v>
      </c>
      <c r="O904">
        <v>0</v>
      </c>
    </row>
    <row r="905" spans="1:15" x14ac:dyDescent="0.3">
      <c r="A905" t="s">
        <v>2288</v>
      </c>
      <c r="B905" t="s">
        <v>3580</v>
      </c>
      <c r="C905" t="s">
        <v>3581</v>
      </c>
      <c r="D905" t="s">
        <v>2284</v>
      </c>
      <c r="E905" t="s">
        <v>2285</v>
      </c>
      <c r="F905" t="s">
        <v>3582</v>
      </c>
      <c r="G905" t="s">
        <v>3583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3">
      <c r="A906" t="s">
        <v>2288</v>
      </c>
      <c r="B906" t="s">
        <v>3584</v>
      </c>
      <c r="C906" t="s">
        <v>3585</v>
      </c>
      <c r="D906" t="s">
        <v>2284</v>
      </c>
      <c r="E906" t="s">
        <v>2285</v>
      </c>
      <c r="F906" t="s">
        <v>3586</v>
      </c>
      <c r="G906" t="s">
        <v>3587</v>
      </c>
      <c r="H906">
        <v>0</v>
      </c>
      <c r="I906">
        <v>250</v>
      </c>
      <c r="J906">
        <v>0</v>
      </c>
      <c r="K906">
        <v>0</v>
      </c>
      <c r="L906">
        <v>0</v>
      </c>
      <c r="M906">
        <v>250</v>
      </c>
      <c r="N906">
        <v>0</v>
      </c>
      <c r="O906">
        <v>0</v>
      </c>
    </row>
    <row r="907" spans="1:15" x14ac:dyDescent="0.3">
      <c r="A907" t="s">
        <v>2288</v>
      </c>
      <c r="B907" t="s">
        <v>3588</v>
      </c>
      <c r="C907" t="s">
        <v>3589</v>
      </c>
      <c r="D907" t="s">
        <v>2284</v>
      </c>
      <c r="E907" t="s">
        <v>2285</v>
      </c>
      <c r="F907" t="s">
        <v>3590</v>
      </c>
      <c r="G907" t="s">
        <v>3591</v>
      </c>
      <c r="H907">
        <v>0</v>
      </c>
      <c r="I907">
        <v>250</v>
      </c>
      <c r="J907">
        <v>0</v>
      </c>
      <c r="K907">
        <v>0</v>
      </c>
      <c r="L907">
        <v>0</v>
      </c>
      <c r="M907">
        <v>250</v>
      </c>
      <c r="N907">
        <v>0</v>
      </c>
      <c r="O907">
        <v>0</v>
      </c>
    </row>
    <row r="908" spans="1:15" x14ac:dyDescent="0.3">
      <c r="A908" t="s">
        <v>2288</v>
      </c>
      <c r="B908" t="s">
        <v>3592</v>
      </c>
      <c r="C908" t="s">
        <v>3593</v>
      </c>
      <c r="D908" t="s">
        <v>2284</v>
      </c>
      <c r="E908" t="s">
        <v>2285</v>
      </c>
      <c r="F908" t="s">
        <v>3594</v>
      </c>
      <c r="G908" t="s">
        <v>3595</v>
      </c>
      <c r="H908">
        <v>0</v>
      </c>
      <c r="I908">
        <v>1106</v>
      </c>
      <c r="J908">
        <v>3496</v>
      </c>
      <c r="K908">
        <v>882</v>
      </c>
      <c r="L908">
        <v>0</v>
      </c>
      <c r="M908">
        <v>1106</v>
      </c>
      <c r="N908">
        <v>0</v>
      </c>
      <c r="O908">
        <v>0</v>
      </c>
    </row>
    <row r="909" spans="1:15" x14ac:dyDescent="0.3">
      <c r="A909" t="s">
        <v>2288</v>
      </c>
      <c r="B909" t="s">
        <v>3596</v>
      </c>
      <c r="C909" t="s">
        <v>3597</v>
      </c>
      <c r="D909" t="s">
        <v>2284</v>
      </c>
      <c r="E909" t="s">
        <v>2285</v>
      </c>
      <c r="F909" t="s">
        <v>3598</v>
      </c>
      <c r="G909" t="s">
        <v>3599</v>
      </c>
      <c r="H909">
        <v>0</v>
      </c>
      <c r="I909">
        <v>250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3">
      <c r="A910" t="s">
        <v>2288</v>
      </c>
      <c r="B910" t="s">
        <v>3600</v>
      </c>
      <c r="C910" t="s">
        <v>3601</v>
      </c>
      <c r="D910" t="s">
        <v>2284</v>
      </c>
      <c r="E910" t="s">
        <v>2285</v>
      </c>
      <c r="F910" t="s">
        <v>3602</v>
      </c>
      <c r="G910" t="s">
        <v>3603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 x14ac:dyDescent="0.3">
      <c r="A911" t="s">
        <v>2288</v>
      </c>
      <c r="B911" t="s">
        <v>3604</v>
      </c>
      <c r="C911" t="s">
        <v>3605</v>
      </c>
      <c r="D911" t="s">
        <v>2284</v>
      </c>
      <c r="E911" t="s">
        <v>2285</v>
      </c>
      <c r="F911" t="s">
        <v>3606</v>
      </c>
      <c r="G911">
        <f>255752311678 / 255752311678</f>
        <v>1</v>
      </c>
      <c r="H911">
        <v>0</v>
      </c>
      <c r="I911">
        <v>250</v>
      </c>
      <c r="J911">
        <v>0</v>
      </c>
      <c r="K911">
        <v>0</v>
      </c>
      <c r="L911">
        <v>0</v>
      </c>
      <c r="M911">
        <v>250</v>
      </c>
      <c r="N911">
        <v>0</v>
      </c>
      <c r="O911">
        <v>0</v>
      </c>
    </row>
    <row r="912" spans="1:15" x14ac:dyDescent="0.3">
      <c r="A912" t="s">
        <v>2288</v>
      </c>
      <c r="B912" t="s">
        <v>3607</v>
      </c>
      <c r="C912" t="s">
        <v>3608</v>
      </c>
      <c r="D912" t="s">
        <v>2284</v>
      </c>
      <c r="E912" t="s">
        <v>2285</v>
      </c>
      <c r="F912" t="s">
        <v>3609</v>
      </c>
      <c r="G912" t="s">
        <v>3610</v>
      </c>
      <c r="H912">
        <v>2356</v>
      </c>
      <c r="I912">
        <v>1113</v>
      </c>
      <c r="J912">
        <v>57674</v>
      </c>
      <c r="K912">
        <v>0</v>
      </c>
      <c r="L912">
        <v>0</v>
      </c>
      <c r="M912">
        <v>250</v>
      </c>
      <c r="N912">
        <v>0</v>
      </c>
      <c r="O912">
        <v>0</v>
      </c>
    </row>
    <row r="913" spans="1:15" x14ac:dyDescent="0.3">
      <c r="A913" t="s">
        <v>2288</v>
      </c>
      <c r="B913" t="s">
        <v>3611</v>
      </c>
      <c r="C913" t="s">
        <v>3612</v>
      </c>
      <c r="D913" t="s">
        <v>2284</v>
      </c>
      <c r="E913" t="s">
        <v>2285</v>
      </c>
      <c r="F913" t="s">
        <v>3613</v>
      </c>
      <c r="G913" t="s">
        <v>3614</v>
      </c>
      <c r="H913">
        <v>0</v>
      </c>
      <c r="I913">
        <v>250</v>
      </c>
      <c r="J913">
        <v>1864</v>
      </c>
      <c r="K913">
        <v>0</v>
      </c>
      <c r="L913">
        <v>0</v>
      </c>
      <c r="M913">
        <v>250</v>
      </c>
      <c r="N913">
        <v>0</v>
      </c>
      <c r="O913">
        <v>0</v>
      </c>
    </row>
    <row r="914" spans="1:15" x14ac:dyDescent="0.3">
      <c r="A914" t="s">
        <v>2288</v>
      </c>
      <c r="B914" t="s">
        <v>3615</v>
      </c>
      <c r="C914" t="s">
        <v>3616</v>
      </c>
      <c r="D914" t="s">
        <v>2284</v>
      </c>
      <c r="E914" t="s">
        <v>2285</v>
      </c>
      <c r="F914" t="s">
        <v>3617</v>
      </c>
      <c r="G914" t="s">
        <v>3618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 x14ac:dyDescent="0.3">
      <c r="A915" t="s">
        <v>2288</v>
      </c>
      <c r="B915" t="s">
        <v>3619</v>
      </c>
      <c r="C915" t="s">
        <v>3620</v>
      </c>
      <c r="D915" t="s">
        <v>2284</v>
      </c>
      <c r="E915" t="s">
        <v>2285</v>
      </c>
      <c r="F915" t="s">
        <v>3621</v>
      </c>
      <c r="G915" t="s">
        <v>3622</v>
      </c>
      <c r="H915">
        <v>0</v>
      </c>
      <c r="I915">
        <v>250</v>
      </c>
      <c r="J915">
        <v>0</v>
      </c>
      <c r="K915">
        <v>0</v>
      </c>
      <c r="L915">
        <v>0</v>
      </c>
      <c r="M915">
        <v>250</v>
      </c>
      <c r="N915">
        <v>0</v>
      </c>
      <c r="O915">
        <v>0</v>
      </c>
    </row>
    <row r="916" spans="1:15" x14ac:dyDescent="0.3">
      <c r="A916" t="s">
        <v>2288</v>
      </c>
      <c r="B916" t="s">
        <v>3623</v>
      </c>
      <c r="C916" t="s">
        <v>3624</v>
      </c>
      <c r="D916" t="s">
        <v>2284</v>
      </c>
      <c r="E916" t="s">
        <v>2285</v>
      </c>
      <c r="F916" t="s">
        <v>3625</v>
      </c>
      <c r="G916" t="s">
        <v>3626</v>
      </c>
      <c r="H916">
        <v>0</v>
      </c>
      <c r="I916">
        <v>250</v>
      </c>
      <c r="J916">
        <v>0</v>
      </c>
      <c r="K916">
        <v>0</v>
      </c>
      <c r="L916">
        <v>0</v>
      </c>
      <c r="M916">
        <v>250</v>
      </c>
      <c r="N916">
        <v>0</v>
      </c>
      <c r="O916">
        <v>0</v>
      </c>
    </row>
    <row r="917" spans="1:15" x14ac:dyDescent="0.3">
      <c r="A917" t="s">
        <v>2288</v>
      </c>
      <c r="B917" t="s">
        <v>3627</v>
      </c>
      <c r="C917" t="s">
        <v>3628</v>
      </c>
      <c r="D917" t="s">
        <v>2284</v>
      </c>
      <c r="E917" t="s">
        <v>2285</v>
      </c>
      <c r="F917" t="s">
        <v>3629</v>
      </c>
      <c r="G917" t="s">
        <v>3630</v>
      </c>
      <c r="H917">
        <v>0</v>
      </c>
      <c r="I917">
        <v>250</v>
      </c>
      <c r="J917">
        <v>0</v>
      </c>
      <c r="K917">
        <v>0</v>
      </c>
      <c r="L917">
        <v>0</v>
      </c>
      <c r="M917">
        <v>250</v>
      </c>
      <c r="N917">
        <v>0</v>
      </c>
      <c r="O917">
        <v>0</v>
      </c>
    </row>
    <row r="918" spans="1:15" x14ac:dyDescent="0.3">
      <c r="A918" t="s">
        <v>2288</v>
      </c>
      <c r="B918" t="s">
        <v>3631</v>
      </c>
      <c r="C918" t="s">
        <v>3632</v>
      </c>
      <c r="D918" t="s">
        <v>2284</v>
      </c>
      <c r="E918" t="s">
        <v>2285</v>
      </c>
      <c r="F918" t="s">
        <v>3633</v>
      </c>
      <c r="G918" t="s">
        <v>3634</v>
      </c>
      <c r="H918">
        <v>0</v>
      </c>
      <c r="I918">
        <v>250</v>
      </c>
      <c r="J918">
        <v>0</v>
      </c>
      <c r="K918">
        <v>0</v>
      </c>
      <c r="L918">
        <v>0</v>
      </c>
      <c r="M918">
        <v>250</v>
      </c>
      <c r="N918">
        <v>0</v>
      </c>
      <c r="O918">
        <v>0</v>
      </c>
    </row>
    <row r="919" spans="1:15" x14ac:dyDescent="0.3">
      <c r="A919" t="s">
        <v>2288</v>
      </c>
      <c r="B919" t="s">
        <v>3635</v>
      </c>
      <c r="C919" t="s">
        <v>3636</v>
      </c>
      <c r="D919" t="s">
        <v>2284</v>
      </c>
      <c r="E919" t="s">
        <v>2285</v>
      </c>
      <c r="F919" t="s">
        <v>3637</v>
      </c>
      <c r="G919" t="s">
        <v>3638</v>
      </c>
      <c r="H919">
        <v>0</v>
      </c>
      <c r="I919">
        <v>250</v>
      </c>
      <c r="J919">
        <v>0</v>
      </c>
      <c r="K919">
        <v>0</v>
      </c>
      <c r="L919">
        <v>0</v>
      </c>
      <c r="M919">
        <v>250</v>
      </c>
      <c r="N919">
        <v>0</v>
      </c>
      <c r="O919">
        <v>0</v>
      </c>
    </row>
    <row r="920" spans="1:15" x14ac:dyDescent="0.3">
      <c r="A920" t="s">
        <v>2288</v>
      </c>
      <c r="B920" t="s">
        <v>3639</v>
      </c>
      <c r="C920" t="s">
        <v>3640</v>
      </c>
      <c r="D920" t="s">
        <v>2284</v>
      </c>
      <c r="E920" t="s">
        <v>2285</v>
      </c>
      <c r="F920" t="s">
        <v>3641</v>
      </c>
      <c r="G920" t="s">
        <v>3642</v>
      </c>
      <c r="H920">
        <v>0</v>
      </c>
      <c r="I920">
        <v>250</v>
      </c>
      <c r="J920">
        <v>0</v>
      </c>
      <c r="K920">
        <v>0</v>
      </c>
      <c r="L920">
        <v>0</v>
      </c>
      <c r="M920">
        <v>250</v>
      </c>
      <c r="N920">
        <v>0</v>
      </c>
      <c r="O920">
        <v>0</v>
      </c>
    </row>
    <row r="921" spans="1:15" x14ac:dyDescent="0.3">
      <c r="A921" t="s">
        <v>2288</v>
      </c>
      <c r="B921" t="s">
        <v>3643</v>
      </c>
      <c r="C921" t="s">
        <v>3644</v>
      </c>
      <c r="D921" t="s">
        <v>2284</v>
      </c>
      <c r="E921" t="s">
        <v>2285</v>
      </c>
      <c r="F921" t="s">
        <v>3645</v>
      </c>
      <c r="G921" t="s">
        <v>3646</v>
      </c>
      <c r="H921">
        <v>0</v>
      </c>
      <c r="I921">
        <v>250</v>
      </c>
      <c r="J921">
        <v>0</v>
      </c>
      <c r="K921">
        <v>0</v>
      </c>
      <c r="L921">
        <v>0</v>
      </c>
      <c r="M921">
        <v>250</v>
      </c>
      <c r="N921">
        <v>0</v>
      </c>
      <c r="O921">
        <v>0</v>
      </c>
    </row>
    <row r="922" spans="1:15" x14ac:dyDescent="0.3">
      <c r="A922" t="s">
        <v>2288</v>
      </c>
      <c r="B922" t="s">
        <v>3647</v>
      </c>
      <c r="C922" t="s">
        <v>3648</v>
      </c>
      <c r="D922" t="s">
        <v>2284</v>
      </c>
      <c r="E922" t="s">
        <v>2285</v>
      </c>
      <c r="F922" t="s">
        <v>3649</v>
      </c>
      <c r="G922" t="s">
        <v>3650</v>
      </c>
      <c r="H922">
        <v>0</v>
      </c>
      <c r="I922">
        <v>2528</v>
      </c>
      <c r="J922">
        <v>1090</v>
      </c>
      <c r="K922">
        <v>360</v>
      </c>
      <c r="L922">
        <v>1800</v>
      </c>
      <c r="M922">
        <v>2528</v>
      </c>
      <c r="N922">
        <v>0</v>
      </c>
      <c r="O922">
        <v>0</v>
      </c>
    </row>
    <row r="923" spans="1:15" x14ac:dyDescent="0.3">
      <c r="A923" t="s">
        <v>2288</v>
      </c>
      <c r="B923" t="s">
        <v>3651</v>
      </c>
      <c r="C923" t="s">
        <v>3652</v>
      </c>
      <c r="D923" t="s">
        <v>2284</v>
      </c>
      <c r="E923" t="s">
        <v>2285</v>
      </c>
      <c r="F923" t="s">
        <v>3653</v>
      </c>
      <c r="G923" t="s">
        <v>3654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 x14ac:dyDescent="0.3">
      <c r="A924" t="s">
        <v>2288</v>
      </c>
      <c r="B924" t="s">
        <v>3655</v>
      </c>
      <c r="C924" t="s">
        <v>3656</v>
      </c>
      <c r="D924" t="s">
        <v>2284</v>
      </c>
      <c r="E924" t="s">
        <v>2285</v>
      </c>
      <c r="F924" t="s">
        <v>3657</v>
      </c>
      <c r="G924" t="s">
        <v>3658</v>
      </c>
      <c r="H924">
        <v>0</v>
      </c>
      <c r="I924">
        <v>250</v>
      </c>
      <c r="J924">
        <v>0</v>
      </c>
      <c r="K924">
        <v>0</v>
      </c>
      <c r="L924">
        <v>0</v>
      </c>
      <c r="M924">
        <v>250</v>
      </c>
      <c r="N924">
        <v>0</v>
      </c>
      <c r="O924">
        <v>0</v>
      </c>
    </row>
    <row r="925" spans="1:15" x14ac:dyDescent="0.3">
      <c r="A925" t="s">
        <v>2288</v>
      </c>
      <c r="B925" t="s">
        <v>3659</v>
      </c>
      <c r="C925" t="s">
        <v>3660</v>
      </c>
      <c r="D925" t="s">
        <v>2284</v>
      </c>
      <c r="E925" t="s">
        <v>2285</v>
      </c>
      <c r="F925" t="s">
        <v>3661</v>
      </c>
      <c r="G925" t="s">
        <v>3662</v>
      </c>
      <c r="H925">
        <v>0</v>
      </c>
      <c r="I925">
        <v>250</v>
      </c>
      <c r="J925">
        <v>0</v>
      </c>
      <c r="K925">
        <v>270</v>
      </c>
      <c r="L925">
        <v>0</v>
      </c>
      <c r="M925">
        <v>250</v>
      </c>
      <c r="N925">
        <v>0</v>
      </c>
      <c r="O925">
        <v>0</v>
      </c>
    </row>
    <row r="926" spans="1:15" x14ac:dyDescent="0.3">
      <c r="A926" t="s">
        <v>2288</v>
      </c>
      <c r="B926" t="s">
        <v>3663</v>
      </c>
      <c r="C926" t="s">
        <v>3664</v>
      </c>
      <c r="D926" t="s">
        <v>2284</v>
      </c>
      <c r="E926" t="s">
        <v>2285</v>
      </c>
      <c r="F926" t="s">
        <v>3665</v>
      </c>
      <c r="G926" t="s">
        <v>3666</v>
      </c>
      <c r="H926">
        <v>0</v>
      </c>
      <c r="I926">
        <v>250</v>
      </c>
      <c r="J926">
        <v>0</v>
      </c>
      <c r="K926">
        <v>0</v>
      </c>
      <c r="L926">
        <v>0</v>
      </c>
      <c r="M926">
        <v>250</v>
      </c>
      <c r="N926">
        <v>0</v>
      </c>
      <c r="O926">
        <v>0</v>
      </c>
    </row>
    <row r="927" spans="1:15" x14ac:dyDescent="0.3">
      <c r="A927" t="s">
        <v>2288</v>
      </c>
      <c r="B927" t="s">
        <v>3667</v>
      </c>
      <c r="C927" t="s">
        <v>3668</v>
      </c>
      <c r="D927" t="s">
        <v>2284</v>
      </c>
      <c r="E927" t="s">
        <v>2285</v>
      </c>
      <c r="F927" t="s">
        <v>3669</v>
      </c>
      <c r="G927" t="s">
        <v>3670</v>
      </c>
      <c r="H927">
        <v>0</v>
      </c>
      <c r="I927">
        <v>112</v>
      </c>
      <c r="J927">
        <v>0</v>
      </c>
      <c r="K927">
        <v>0</v>
      </c>
      <c r="L927">
        <v>1200</v>
      </c>
      <c r="M927">
        <v>112</v>
      </c>
      <c r="N927">
        <v>0</v>
      </c>
      <c r="O927">
        <v>0</v>
      </c>
    </row>
    <row r="928" spans="1:15" x14ac:dyDescent="0.3">
      <c r="A928" t="s">
        <v>2288</v>
      </c>
      <c r="B928" t="s">
        <v>3671</v>
      </c>
      <c r="C928" t="s">
        <v>3672</v>
      </c>
      <c r="D928" t="s">
        <v>2284</v>
      </c>
      <c r="E928" t="s">
        <v>2285</v>
      </c>
      <c r="F928" t="s">
        <v>3673</v>
      </c>
      <c r="G928" t="s">
        <v>3674</v>
      </c>
      <c r="H928">
        <v>0</v>
      </c>
      <c r="I928">
        <v>1050</v>
      </c>
      <c r="J928">
        <v>2598</v>
      </c>
      <c r="K928">
        <v>0</v>
      </c>
      <c r="L928">
        <v>0</v>
      </c>
      <c r="M928">
        <v>1050</v>
      </c>
      <c r="N928">
        <v>0</v>
      </c>
      <c r="O928">
        <v>0</v>
      </c>
    </row>
    <row r="929" spans="1:15" x14ac:dyDescent="0.3">
      <c r="A929" t="s">
        <v>2288</v>
      </c>
      <c r="B929" t="s">
        <v>3675</v>
      </c>
      <c r="C929" t="s">
        <v>3676</v>
      </c>
      <c r="D929" t="s">
        <v>2284</v>
      </c>
      <c r="E929" t="s">
        <v>2285</v>
      </c>
      <c r="F929" t="s">
        <v>3677</v>
      </c>
      <c r="G929" t="s">
        <v>3678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 x14ac:dyDescent="0.3">
      <c r="A930" t="s">
        <v>2288</v>
      </c>
      <c r="B930" t="s">
        <v>3679</v>
      </c>
      <c r="C930" t="s">
        <v>3680</v>
      </c>
      <c r="D930" t="s">
        <v>2284</v>
      </c>
      <c r="E930" t="s">
        <v>2285</v>
      </c>
      <c r="F930" t="s">
        <v>3681</v>
      </c>
      <c r="G930" t="s">
        <v>3682</v>
      </c>
      <c r="H930">
        <v>0</v>
      </c>
      <c r="I930">
        <v>250</v>
      </c>
      <c r="J930">
        <v>0</v>
      </c>
      <c r="K930">
        <v>0</v>
      </c>
      <c r="L930">
        <v>0</v>
      </c>
      <c r="M930">
        <v>250</v>
      </c>
      <c r="N930">
        <v>0</v>
      </c>
      <c r="O930">
        <v>0</v>
      </c>
    </row>
    <row r="931" spans="1:15" x14ac:dyDescent="0.3">
      <c r="A931" t="s">
        <v>3683</v>
      </c>
      <c r="B931" t="s">
        <v>3684</v>
      </c>
      <c r="C931" t="s">
        <v>3685</v>
      </c>
      <c r="D931" t="s">
        <v>3686</v>
      </c>
      <c r="E931" t="s">
        <v>3687</v>
      </c>
      <c r="F931" t="s">
        <v>3688</v>
      </c>
      <c r="G931" t="s">
        <v>3689</v>
      </c>
      <c r="H931">
        <v>0</v>
      </c>
      <c r="I931">
        <v>3769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 x14ac:dyDescent="0.3">
      <c r="A932" t="s">
        <v>3683</v>
      </c>
      <c r="B932" t="s">
        <v>3690</v>
      </c>
      <c r="C932" t="s">
        <v>3691</v>
      </c>
      <c r="D932" t="s">
        <v>3686</v>
      </c>
      <c r="E932" t="s">
        <v>3687</v>
      </c>
      <c r="F932" t="s">
        <v>3692</v>
      </c>
      <c r="G932">
        <f>256758940976 / 256414344636</f>
        <v>1.0013439042986818</v>
      </c>
      <c r="H932">
        <v>0</v>
      </c>
      <c r="I932">
        <v>250</v>
      </c>
      <c r="J932">
        <v>1460</v>
      </c>
      <c r="K932">
        <v>0</v>
      </c>
      <c r="L932">
        <v>0</v>
      </c>
      <c r="M932">
        <v>250</v>
      </c>
      <c r="N932">
        <v>0</v>
      </c>
      <c r="O932">
        <v>0</v>
      </c>
    </row>
    <row r="933" spans="1:15" x14ac:dyDescent="0.3">
      <c r="A933" t="s">
        <v>3683</v>
      </c>
      <c r="B933" t="s">
        <v>3693</v>
      </c>
      <c r="C933" t="s">
        <v>3694</v>
      </c>
      <c r="D933" t="s">
        <v>3686</v>
      </c>
      <c r="E933" t="s">
        <v>3687</v>
      </c>
      <c r="F933" t="s">
        <v>3695</v>
      </c>
      <c r="G933" t="s">
        <v>3696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 x14ac:dyDescent="0.3">
      <c r="A934" t="s">
        <v>3683</v>
      </c>
      <c r="B934" t="s">
        <v>3697</v>
      </c>
      <c r="C934" t="s">
        <v>3698</v>
      </c>
      <c r="D934" t="s">
        <v>3686</v>
      </c>
      <c r="E934" t="s">
        <v>3687</v>
      </c>
      <c r="F934" t="s">
        <v>3699</v>
      </c>
      <c r="G934" t="s">
        <v>3700</v>
      </c>
      <c r="H934">
        <v>0</v>
      </c>
      <c r="I934">
        <v>250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 x14ac:dyDescent="0.3">
      <c r="A935" t="s">
        <v>3683</v>
      </c>
      <c r="B935" t="s">
        <v>3701</v>
      </c>
      <c r="C935" t="s">
        <v>3702</v>
      </c>
      <c r="D935" t="s">
        <v>3686</v>
      </c>
      <c r="E935" t="s">
        <v>3687</v>
      </c>
      <c r="F935" t="s">
        <v>3703</v>
      </c>
      <c r="G935" t="s">
        <v>3704</v>
      </c>
      <c r="H935">
        <v>0</v>
      </c>
      <c r="I935">
        <v>250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 x14ac:dyDescent="0.3">
      <c r="A936" t="s">
        <v>3683</v>
      </c>
      <c r="B936" t="s">
        <v>3705</v>
      </c>
      <c r="C936" t="s">
        <v>3706</v>
      </c>
      <c r="D936" t="s">
        <v>3686</v>
      </c>
      <c r="E936" t="s">
        <v>3687</v>
      </c>
      <c r="F936" t="s">
        <v>3707</v>
      </c>
      <c r="G936" t="s">
        <v>3708</v>
      </c>
      <c r="H936">
        <v>0</v>
      </c>
      <c r="I936">
        <v>250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 x14ac:dyDescent="0.3">
      <c r="A937" t="s">
        <v>3683</v>
      </c>
      <c r="B937" t="s">
        <v>3709</v>
      </c>
      <c r="C937" t="s">
        <v>3710</v>
      </c>
      <c r="D937" t="s">
        <v>3686</v>
      </c>
      <c r="E937" t="s">
        <v>3687</v>
      </c>
      <c r="F937" t="s">
        <v>3711</v>
      </c>
      <c r="G937">
        <f>256704807166 / 256704807166</f>
        <v>1</v>
      </c>
      <c r="H937">
        <v>120</v>
      </c>
      <c r="I937">
        <v>250</v>
      </c>
      <c r="J937">
        <v>680</v>
      </c>
      <c r="K937">
        <v>0</v>
      </c>
      <c r="L937">
        <v>0</v>
      </c>
      <c r="M937">
        <v>250</v>
      </c>
      <c r="N937">
        <v>0</v>
      </c>
      <c r="O937">
        <v>0</v>
      </c>
    </row>
    <row r="938" spans="1:15" x14ac:dyDescent="0.3">
      <c r="A938" t="s">
        <v>3683</v>
      </c>
      <c r="B938" t="s">
        <v>3712</v>
      </c>
      <c r="C938" t="s">
        <v>3713</v>
      </c>
      <c r="D938" t="s">
        <v>3686</v>
      </c>
      <c r="E938" t="s">
        <v>3687</v>
      </c>
      <c r="F938" t="s">
        <v>3714</v>
      </c>
      <c r="G938" t="s">
        <v>3715</v>
      </c>
      <c r="H938">
        <v>3137</v>
      </c>
      <c r="I938">
        <v>1366</v>
      </c>
      <c r="J938">
        <v>36063</v>
      </c>
      <c r="K938">
        <v>0</v>
      </c>
      <c r="L938">
        <v>0</v>
      </c>
      <c r="M938">
        <v>250</v>
      </c>
      <c r="N938">
        <v>0</v>
      </c>
      <c r="O938">
        <v>0</v>
      </c>
    </row>
    <row r="939" spans="1:15" x14ac:dyDescent="0.3">
      <c r="A939" t="s">
        <v>3683</v>
      </c>
      <c r="B939" t="s">
        <v>3716</v>
      </c>
      <c r="C939" t="s">
        <v>3717</v>
      </c>
      <c r="D939" t="s">
        <v>3686</v>
      </c>
      <c r="E939" t="s">
        <v>3687</v>
      </c>
      <c r="F939" t="s">
        <v>3718</v>
      </c>
      <c r="G939" t="s">
        <v>3719</v>
      </c>
      <c r="H939">
        <v>0</v>
      </c>
      <c r="I939">
        <v>250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 x14ac:dyDescent="0.3">
      <c r="A940" t="s">
        <v>3683</v>
      </c>
      <c r="B940" t="s">
        <v>3720</v>
      </c>
      <c r="C940" t="s">
        <v>3721</v>
      </c>
      <c r="D940" t="s">
        <v>3686</v>
      </c>
      <c r="E940" t="s">
        <v>3687</v>
      </c>
      <c r="F940" t="s">
        <v>3722</v>
      </c>
      <c r="G940" t="s">
        <v>3723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 x14ac:dyDescent="0.3">
      <c r="A941" t="s">
        <v>3683</v>
      </c>
      <c r="B941" t="s">
        <v>3724</v>
      </c>
      <c r="C941" t="s">
        <v>3725</v>
      </c>
      <c r="D941" t="s">
        <v>3686</v>
      </c>
      <c r="E941" t="s">
        <v>3687</v>
      </c>
      <c r="F941" t="s">
        <v>3726</v>
      </c>
      <c r="G941" t="s">
        <v>3727</v>
      </c>
      <c r="H941">
        <v>0</v>
      </c>
      <c r="I941">
        <v>250</v>
      </c>
      <c r="J941">
        <v>0</v>
      </c>
      <c r="K941">
        <v>0</v>
      </c>
      <c r="L941">
        <v>0</v>
      </c>
      <c r="M941">
        <v>250</v>
      </c>
      <c r="N941">
        <v>0</v>
      </c>
      <c r="O941">
        <v>0</v>
      </c>
    </row>
    <row r="942" spans="1:15" x14ac:dyDescent="0.3">
      <c r="A942" t="s">
        <v>3683</v>
      </c>
      <c r="B942" t="s">
        <v>3728</v>
      </c>
      <c r="C942" t="s">
        <v>3729</v>
      </c>
      <c r="D942" t="s">
        <v>3686</v>
      </c>
      <c r="E942" t="s">
        <v>3687</v>
      </c>
      <c r="F942" t="s">
        <v>3730</v>
      </c>
      <c r="G942" t="s">
        <v>3731</v>
      </c>
      <c r="H942">
        <v>0</v>
      </c>
      <c r="I942">
        <v>250</v>
      </c>
      <c r="J942">
        <v>0</v>
      </c>
      <c r="K942">
        <v>0</v>
      </c>
      <c r="L942">
        <v>0</v>
      </c>
      <c r="M942">
        <v>250</v>
      </c>
      <c r="N942">
        <v>0</v>
      </c>
      <c r="O942">
        <v>0</v>
      </c>
    </row>
    <row r="943" spans="1:15" x14ac:dyDescent="0.3">
      <c r="A943" t="s">
        <v>3683</v>
      </c>
      <c r="B943" t="s">
        <v>3732</v>
      </c>
      <c r="C943" t="s">
        <v>3733</v>
      </c>
      <c r="D943" t="s">
        <v>3686</v>
      </c>
      <c r="E943" t="s">
        <v>3687</v>
      </c>
      <c r="F943" t="s">
        <v>3734</v>
      </c>
      <c r="G943" t="s">
        <v>3735</v>
      </c>
      <c r="H943">
        <v>0</v>
      </c>
      <c r="I943">
        <v>250</v>
      </c>
      <c r="J943">
        <v>0</v>
      </c>
      <c r="K943">
        <v>0</v>
      </c>
      <c r="L943">
        <v>0</v>
      </c>
      <c r="M943">
        <v>250</v>
      </c>
      <c r="N943">
        <v>0</v>
      </c>
      <c r="O943">
        <v>0</v>
      </c>
    </row>
    <row r="944" spans="1:15" x14ac:dyDescent="0.3">
      <c r="A944" t="s">
        <v>3683</v>
      </c>
      <c r="B944" t="s">
        <v>3736</v>
      </c>
      <c r="C944" t="s">
        <v>3737</v>
      </c>
      <c r="D944" t="s">
        <v>3686</v>
      </c>
      <c r="E944" t="s">
        <v>3687</v>
      </c>
      <c r="F944" t="s">
        <v>3738</v>
      </c>
      <c r="G944" t="s">
        <v>3739</v>
      </c>
      <c r="H944">
        <v>0</v>
      </c>
      <c r="I944">
        <v>250</v>
      </c>
      <c r="J944">
        <v>0</v>
      </c>
      <c r="K944">
        <v>0</v>
      </c>
      <c r="L944">
        <v>0</v>
      </c>
      <c r="M944">
        <v>250</v>
      </c>
      <c r="N944">
        <v>0</v>
      </c>
      <c r="O944">
        <v>0</v>
      </c>
    </row>
    <row r="945" spans="1:15" x14ac:dyDescent="0.3">
      <c r="A945" t="s">
        <v>3683</v>
      </c>
      <c r="B945" t="s">
        <v>3740</v>
      </c>
      <c r="C945" t="s">
        <v>3741</v>
      </c>
      <c r="D945" t="s">
        <v>3686</v>
      </c>
      <c r="E945" t="s">
        <v>3687</v>
      </c>
      <c r="F945" t="s">
        <v>3742</v>
      </c>
      <c r="G945" t="s">
        <v>3743</v>
      </c>
      <c r="H945">
        <v>340</v>
      </c>
      <c r="I945">
        <v>1472</v>
      </c>
      <c r="J945">
        <v>7650</v>
      </c>
      <c r="K945">
        <v>0</v>
      </c>
      <c r="L945">
        <v>0</v>
      </c>
      <c r="M945">
        <v>560</v>
      </c>
      <c r="N945">
        <v>0</v>
      </c>
      <c r="O945">
        <v>0</v>
      </c>
    </row>
    <row r="946" spans="1:15" x14ac:dyDescent="0.3">
      <c r="A946" t="s">
        <v>3683</v>
      </c>
      <c r="B946" t="s">
        <v>3744</v>
      </c>
      <c r="C946" t="s">
        <v>3745</v>
      </c>
      <c r="D946" t="s">
        <v>3686</v>
      </c>
      <c r="E946" t="s">
        <v>3687</v>
      </c>
      <c r="F946" t="s">
        <v>3746</v>
      </c>
      <c r="G946" t="s">
        <v>3747</v>
      </c>
      <c r="H946">
        <v>0</v>
      </c>
      <c r="I946">
        <v>250</v>
      </c>
      <c r="J946">
        <v>0</v>
      </c>
      <c r="K946">
        <v>0</v>
      </c>
      <c r="L946">
        <v>0</v>
      </c>
      <c r="M946">
        <v>250</v>
      </c>
      <c r="N946">
        <v>0</v>
      </c>
      <c r="O946">
        <v>0</v>
      </c>
    </row>
    <row r="947" spans="1:15" x14ac:dyDescent="0.3">
      <c r="A947" t="s">
        <v>3683</v>
      </c>
      <c r="B947" t="s">
        <v>3748</v>
      </c>
      <c r="C947" t="s">
        <v>3749</v>
      </c>
      <c r="D947" t="s">
        <v>3686</v>
      </c>
      <c r="E947" t="s">
        <v>3687</v>
      </c>
      <c r="F947" t="s">
        <v>3750</v>
      </c>
      <c r="G947" t="s">
        <v>3751</v>
      </c>
      <c r="H947">
        <v>237</v>
      </c>
      <c r="I947">
        <v>4131</v>
      </c>
      <c r="J947">
        <v>2697</v>
      </c>
      <c r="K947">
        <v>0</v>
      </c>
      <c r="L947">
        <v>0</v>
      </c>
      <c r="M947">
        <v>2402</v>
      </c>
      <c r="N947">
        <v>0</v>
      </c>
      <c r="O947">
        <v>0</v>
      </c>
    </row>
    <row r="948" spans="1:15" x14ac:dyDescent="0.3">
      <c r="A948" t="s">
        <v>3683</v>
      </c>
      <c r="B948" t="s">
        <v>3752</v>
      </c>
      <c r="C948" t="s">
        <v>3753</v>
      </c>
      <c r="D948" t="s">
        <v>3686</v>
      </c>
      <c r="E948" t="s">
        <v>3687</v>
      </c>
      <c r="F948" t="s">
        <v>3754</v>
      </c>
      <c r="G948" t="s">
        <v>3755</v>
      </c>
      <c r="H948">
        <v>0</v>
      </c>
      <c r="I948">
        <v>250</v>
      </c>
      <c r="J948">
        <v>0</v>
      </c>
      <c r="K948">
        <v>0</v>
      </c>
      <c r="L948">
        <v>0</v>
      </c>
      <c r="M948">
        <v>250</v>
      </c>
      <c r="N948">
        <v>0</v>
      </c>
      <c r="O948">
        <v>0</v>
      </c>
    </row>
    <row r="949" spans="1:15" x14ac:dyDescent="0.3">
      <c r="A949" t="s">
        <v>3683</v>
      </c>
      <c r="B949" t="s">
        <v>3756</v>
      </c>
      <c r="C949" t="s">
        <v>3757</v>
      </c>
      <c r="D949" t="s">
        <v>3686</v>
      </c>
      <c r="E949" t="s">
        <v>3687</v>
      </c>
      <c r="F949" t="s">
        <v>3758</v>
      </c>
      <c r="G949" t="s">
        <v>3759</v>
      </c>
      <c r="H949">
        <v>0</v>
      </c>
      <c r="I949">
        <v>250</v>
      </c>
      <c r="J949">
        <v>472</v>
      </c>
      <c r="K949">
        <v>0</v>
      </c>
      <c r="L949">
        <v>0</v>
      </c>
      <c r="M949">
        <v>250</v>
      </c>
      <c r="N949">
        <v>0</v>
      </c>
      <c r="O949">
        <v>0</v>
      </c>
    </row>
    <row r="950" spans="1:15" x14ac:dyDescent="0.3">
      <c r="A950" t="s">
        <v>3683</v>
      </c>
      <c r="B950" t="s">
        <v>3760</v>
      </c>
      <c r="C950" t="s">
        <v>3761</v>
      </c>
      <c r="D950" t="s">
        <v>3686</v>
      </c>
      <c r="E950" t="s">
        <v>3687</v>
      </c>
      <c r="F950" t="s">
        <v>3762</v>
      </c>
      <c r="G950">
        <f>256752340350 / 393108816</f>
        <v>653.13300007497162</v>
      </c>
      <c r="H950">
        <v>0</v>
      </c>
      <c r="I950">
        <v>250</v>
      </c>
      <c r="J950">
        <v>0</v>
      </c>
      <c r="K950">
        <v>0</v>
      </c>
      <c r="L950">
        <v>0</v>
      </c>
      <c r="M950">
        <v>250</v>
      </c>
      <c r="N950">
        <v>0</v>
      </c>
      <c r="O950">
        <v>0</v>
      </c>
    </row>
    <row r="951" spans="1:15" x14ac:dyDescent="0.3">
      <c r="A951" t="s">
        <v>3683</v>
      </c>
      <c r="B951" t="s">
        <v>3763</v>
      </c>
      <c r="C951" t="s">
        <v>3764</v>
      </c>
      <c r="D951" t="s">
        <v>3686</v>
      </c>
      <c r="E951" t="s">
        <v>3687</v>
      </c>
      <c r="F951" t="s">
        <v>3765</v>
      </c>
      <c r="G951" t="s">
        <v>3766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 x14ac:dyDescent="0.3">
      <c r="A952" t="s">
        <v>3683</v>
      </c>
      <c r="B952" t="s">
        <v>3767</v>
      </c>
      <c r="C952" t="s">
        <v>3768</v>
      </c>
      <c r="D952" t="s">
        <v>3686</v>
      </c>
      <c r="E952" t="s">
        <v>3687</v>
      </c>
      <c r="F952" t="s">
        <v>3769</v>
      </c>
      <c r="G952" t="s">
        <v>3770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 x14ac:dyDescent="0.3">
      <c r="A953" t="s">
        <v>3683</v>
      </c>
      <c r="B953" t="s">
        <v>3771</v>
      </c>
      <c r="C953" t="s">
        <v>3772</v>
      </c>
      <c r="D953" t="s">
        <v>3686</v>
      </c>
      <c r="E953" t="s">
        <v>3687</v>
      </c>
      <c r="F953" t="s">
        <v>3773</v>
      </c>
      <c r="G953" t="s">
        <v>3774</v>
      </c>
      <c r="H953">
        <v>0</v>
      </c>
      <c r="I953">
        <v>3562</v>
      </c>
      <c r="J953">
        <v>708</v>
      </c>
      <c r="K953">
        <v>933</v>
      </c>
      <c r="L953">
        <v>0</v>
      </c>
      <c r="M953">
        <v>502</v>
      </c>
      <c r="N953">
        <v>0</v>
      </c>
      <c r="O953">
        <v>0</v>
      </c>
    </row>
    <row r="954" spans="1:15" x14ac:dyDescent="0.3">
      <c r="A954" t="s">
        <v>3683</v>
      </c>
      <c r="B954" t="s">
        <v>3775</v>
      </c>
      <c r="C954" t="s">
        <v>3776</v>
      </c>
      <c r="D954" t="s">
        <v>3686</v>
      </c>
      <c r="E954" t="s">
        <v>3687</v>
      </c>
      <c r="F954" t="s">
        <v>3777</v>
      </c>
      <c r="G954" t="s">
        <v>3778</v>
      </c>
      <c r="H954">
        <v>0</v>
      </c>
      <c r="I954">
        <v>250</v>
      </c>
      <c r="J954">
        <v>1044</v>
      </c>
      <c r="K954">
        <v>0</v>
      </c>
      <c r="L954">
        <v>0</v>
      </c>
      <c r="M954">
        <v>250</v>
      </c>
      <c r="N954">
        <v>0</v>
      </c>
      <c r="O954">
        <v>0</v>
      </c>
    </row>
    <row r="955" spans="1:15" x14ac:dyDescent="0.3">
      <c r="A955" t="s">
        <v>3683</v>
      </c>
      <c r="B955" t="s">
        <v>3779</v>
      </c>
      <c r="C955" t="s">
        <v>3780</v>
      </c>
      <c r="D955" t="s">
        <v>3686</v>
      </c>
      <c r="E955" t="s">
        <v>3687</v>
      </c>
      <c r="F955" t="s">
        <v>3781</v>
      </c>
      <c r="G955" t="s">
        <v>3782</v>
      </c>
      <c r="H955">
        <v>0</v>
      </c>
      <c r="I955">
        <v>250</v>
      </c>
      <c r="J955">
        <v>7454</v>
      </c>
      <c r="K955">
        <v>0</v>
      </c>
      <c r="L955">
        <v>0</v>
      </c>
      <c r="M955">
        <v>250</v>
      </c>
      <c r="N955">
        <v>0</v>
      </c>
      <c r="O955">
        <v>0</v>
      </c>
    </row>
    <row r="956" spans="1:15" x14ac:dyDescent="0.3">
      <c r="A956" t="s">
        <v>3683</v>
      </c>
      <c r="B956" t="s">
        <v>354</v>
      </c>
      <c r="C956" t="s">
        <v>3783</v>
      </c>
      <c r="D956" t="s">
        <v>3686</v>
      </c>
      <c r="E956" t="s">
        <v>3687</v>
      </c>
      <c r="F956" t="s">
        <v>3784</v>
      </c>
      <c r="G956" t="s">
        <v>3785</v>
      </c>
      <c r="H956">
        <v>0</v>
      </c>
      <c r="I956">
        <v>2230</v>
      </c>
      <c r="J956">
        <v>69380</v>
      </c>
      <c r="K956">
        <v>0</v>
      </c>
      <c r="L956">
        <v>0</v>
      </c>
      <c r="M956">
        <v>870</v>
      </c>
      <c r="N956">
        <v>620</v>
      </c>
      <c r="O956">
        <v>0</v>
      </c>
    </row>
    <row r="957" spans="1:15" x14ac:dyDescent="0.3">
      <c r="A957" t="s">
        <v>3683</v>
      </c>
      <c r="B957" t="s">
        <v>3786</v>
      </c>
      <c r="C957" t="s">
        <v>3787</v>
      </c>
      <c r="D957" t="s">
        <v>3686</v>
      </c>
      <c r="E957" t="s">
        <v>3687</v>
      </c>
      <c r="F957" t="s">
        <v>3788</v>
      </c>
      <c r="G957" t="s">
        <v>3789</v>
      </c>
      <c r="H957">
        <v>0</v>
      </c>
      <c r="I957">
        <v>250</v>
      </c>
      <c r="J957">
        <v>1376</v>
      </c>
      <c r="K957">
        <v>0</v>
      </c>
      <c r="L957">
        <v>0</v>
      </c>
      <c r="M957">
        <v>250</v>
      </c>
      <c r="N957">
        <v>0</v>
      </c>
      <c r="O957">
        <v>0</v>
      </c>
    </row>
    <row r="958" spans="1:15" x14ac:dyDescent="0.3">
      <c r="A958" t="s">
        <v>3683</v>
      </c>
      <c r="B958" t="s">
        <v>3790</v>
      </c>
      <c r="C958" t="s">
        <v>3791</v>
      </c>
      <c r="D958" t="s">
        <v>3686</v>
      </c>
      <c r="E958" t="s">
        <v>3687</v>
      </c>
      <c r="F958" t="s">
        <v>3792</v>
      </c>
      <c r="G958" t="s">
        <v>3793</v>
      </c>
      <c r="H958">
        <v>0</v>
      </c>
      <c r="I958">
        <v>250</v>
      </c>
      <c r="J958">
        <v>0</v>
      </c>
      <c r="K958">
        <v>0</v>
      </c>
      <c r="L958">
        <v>0</v>
      </c>
      <c r="M958">
        <v>250</v>
      </c>
      <c r="N958">
        <v>0</v>
      </c>
      <c r="O958">
        <v>0</v>
      </c>
    </row>
    <row r="959" spans="1:15" x14ac:dyDescent="0.3">
      <c r="A959" t="s">
        <v>3683</v>
      </c>
      <c r="B959" t="s">
        <v>3794</v>
      </c>
      <c r="C959" t="s">
        <v>3795</v>
      </c>
      <c r="D959" t="s">
        <v>3686</v>
      </c>
      <c r="E959" t="s">
        <v>3687</v>
      </c>
      <c r="F959" t="s">
        <v>3796</v>
      </c>
      <c r="G959" t="s">
        <v>3797</v>
      </c>
      <c r="H959">
        <v>0</v>
      </c>
      <c r="I959">
        <v>250</v>
      </c>
      <c r="J959">
        <v>0</v>
      </c>
      <c r="K959">
        <v>0</v>
      </c>
      <c r="L959">
        <v>0</v>
      </c>
      <c r="M959">
        <v>250</v>
      </c>
      <c r="N959">
        <v>0</v>
      </c>
      <c r="O959">
        <v>0</v>
      </c>
    </row>
    <row r="960" spans="1:15" x14ac:dyDescent="0.3">
      <c r="A960" t="s">
        <v>3683</v>
      </c>
      <c r="B960" t="s">
        <v>3798</v>
      </c>
      <c r="C960" t="s">
        <v>3799</v>
      </c>
      <c r="D960" t="s">
        <v>3686</v>
      </c>
      <c r="E960" t="s">
        <v>3687</v>
      </c>
      <c r="F960" t="s">
        <v>3800</v>
      </c>
      <c r="G960" t="s">
        <v>3801</v>
      </c>
      <c r="H960">
        <v>0</v>
      </c>
      <c r="I960">
        <v>250</v>
      </c>
      <c r="J960">
        <v>0</v>
      </c>
      <c r="K960">
        <v>0</v>
      </c>
      <c r="L960">
        <v>0</v>
      </c>
      <c r="M960">
        <v>250</v>
      </c>
      <c r="N960">
        <v>0</v>
      </c>
      <c r="O960">
        <v>0</v>
      </c>
    </row>
    <row r="961" spans="1:15" x14ac:dyDescent="0.3">
      <c r="A961" t="s">
        <v>3683</v>
      </c>
      <c r="B961" t="s">
        <v>3802</v>
      </c>
      <c r="C961" t="s">
        <v>3803</v>
      </c>
      <c r="D961" t="s">
        <v>3686</v>
      </c>
      <c r="E961" t="s">
        <v>3687</v>
      </c>
      <c r="F961" t="s">
        <v>3804</v>
      </c>
      <c r="G961" t="s">
        <v>3805</v>
      </c>
      <c r="H961">
        <v>0</v>
      </c>
      <c r="I961">
        <v>250</v>
      </c>
      <c r="J961">
        <v>0</v>
      </c>
      <c r="K961">
        <v>0</v>
      </c>
      <c r="L961">
        <v>0</v>
      </c>
      <c r="M961">
        <v>250</v>
      </c>
      <c r="N961">
        <v>0</v>
      </c>
      <c r="O961">
        <v>0</v>
      </c>
    </row>
    <row r="962" spans="1:15" x14ac:dyDescent="0.3">
      <c r="A962" t="s">
        <v>3683</v>
      </c>
      <c r="B962" t="s">
        <v>3806</v>
      </c>
      <c r="C962" t="s">
        <v>3807</v>
      </c>
      <c r="D962" t="s">
        <v>3686</v>
      </c>
      <c r="E962" t="s">
        <v>3687</v>
      </c>
      <c r="F962" t="s">
        <v>3808</v>
      </c>
      <c r="G962" t="s">
        <v>3809</v>
      </c>
      <c r="H962">
        <v>0</v>
      </c>
      <c r="I962">
        <v>250</v>
      </c>
      <c r="J962">
        <v>0</v>
      </c>
      <c r="K962">
        <v>0</v>
      </c>
      <c r="L962">
        <v>0</v>
      </c>
      <c r="M962">
        <v>250</v>
      </c>
      <c r="N962">
        <v>0</v>
      </c>
      <c r="O962">
        <v>0</v>
      </c>
    </row>
    <row r="963" spans="1:15" x14ac:dyDescent="0.3">
      <c r="A963" t="s">
        <v>3683</v>
      </c>
      <c r="B963" t="s">
        <v>3810</v>
      </c>
      <c r="C963" t="s">
        <v>3811</v>
      </c>
      <c r="D963" t="s">
        <v>3686</v>
      </c>
      <c r="E963" t="s">
        <v>3687</v>
      </c>
      <c r="F963" t="s">
        <v>3812</v>
      </c>
      <c r="G963" t="s">
        <v>3813</v>
      </c>
      <c r="H963">
        <v>0</v>
      </c>
      <c r="I963">
        <v>442</v>
      </c>
      <c r="J963">
        <v>360</v>
      </c>
      <c r="K963">
        <v>0</v>
      </c>
      <c r="L963">
        <v>0</v>
      </c>
      <c r="M963">
        <v>250</v>
      </c>
      <c r="N963">
        <v>0</v>
      </c>
      <c r="O963">
        <v>0</v>
      </c>
    </row>
    <row r="964" spans="1:15" x14ac:dyDescent="0.3">
      <c r="A964" t="s">
        <v>3683</v>
      </c>
      <c r="B964" t="s">
        <v>3814</v>
      </c>
      <c r="C964" t="s">
        <v>3815</v>
      </c>
      <c r="D964" t="s">
        <v>3686</v>
      </c>
      <c r="E964" t="s">
        <v>3687</v>
      </c>
      <c r="F964" t="s">
        <v>3816</v>
      </c>
      <c r="G964" t="s">
        <v>3817</v>
      </c>
      <c r="H964">
        <v>0</v>
      </c>
      <c r="I964">
        <v>250</v>
      </c>
      <c r="J964">
        <v>0</v>
      </c>
      <c r="K964">
        <v>0</v>
      </c>
      <c r="L964">
        <v>0</v>
      </c>
      <c r="M964">
        <v>250</v>
      </c>
      <c r="N964">
        <v>0</v>
      </c>
      <c r="O964">
        <v>0</v>
      </c>
    </row>
    <row r="965" spans="1:15" x14ac:dyDescent="0.3">
      <c r="A965" t="s">
        <v>3683</v>
      </c>
      <c r="B965" t="s">
        <v>447</v>
      </c>
      <c r="C965" t="s">
        <v>3818</v>
      </c>
      <c r="D965" t="s">
        <v>3686</v>
      </c>
      <c r="E965" t="s">
        <v>3687</v>
      </c>
      <c r="F965" t="s">
        <v>3819</v>
      </c>
      <c r="G965" t="s">
        <v>3820</v>
      </c>
      <c r="H965">
        <v>0</v>
      </c>
      <c r="I965">
        <v>250</v>
      </c>
      <c r="J965">
        <v>438</v>
      </c>
      <c r="K965">
        <v>0</v>
      </c>
      <c r="L965">
        <v>0</v>
      </c>
      <c r="M965">
        <v>250</v>
      </c>
      <c r="N965">
        <v>0</v>
      </c>
      <c r="O965">
        <v>0</v>
      </c>
    </row>
    <row r="966" spans="1:15" x14ac:dyDescent="0.3">
      <c r="A966" t="s">
        <v>3683</v>
      </c>
      <c r="B966" t="s">
        <v>3821</v>
      </c>
      <c r="C966" t="s">
        <v>3822</v>
      </c>
      <c r="D966" t="s">
        <v>3686</v>
      </c>
      <c r="E966" t="s">
        <v>3687</v>
      </c>
      <c r="F966" t="s">
        <v>3823</v>
      </c>
      <c r="G966" t="s">
        <v>3824</v>
      </c>
      <c r="H966">
        <v>0</v>
      </c>
      <c r="I966">
        <v>250</v>
      </c>
      <c r="J966">
        <v>225</v>
      </c>
      <c r="K966">
        <v>0</v>
      </c>
      <c r="L966">
        <v>0</v>
      </c>
      <c r="M966">
        <v>250</v>
      </c>
      <c r="N966">
        <v>0</v>
      </c>
      <c r="O966">
        <v>0</v>
      </c>
    </row>
    <row r="967" spans="1:15" x14ac:dyDescent="0.3">
      <c r="A967" t="s">
        <v>3683</v>
      </c>
      <c r="B967" t="s">
        <v>3825</v>
      </c>
      <c r="C967" t="s">
        <v>3826</v>
      </c>
      <c r="D967" t="s">
        <v>3686</v>
      </c>
      <c r="E967" t="s">
        <v>3687</v>
      </c>
      <c r="F967" t="s">
        <v>3827</v>
      </c>
      <c r="G967" t="s">
        <v>3828</v>
      </c>
      <c r="H967">
        <v>3259</v>
      </c>
      <c r="I967">
        <v>2486</v>
      </c>
      <c r="J967">
        <v>51723</v>
      </c>
      <c r="K967">
        <v>701</v>
      </c>
      <c r="L967">
        <v>0</v>
      </c>
      <c r="M967">
        <v>2486</v>
      </c>
      <c r="N967">
        <v>0</v>
      </c>
      <c r="O967">
        <v>0</v>
      </c>
    </row>
    <row r="968" spans="1:15" x14ac:dyDescent="0.3">
      <c r="A968" t="s">
        <v>3683</v>
      </c>
      <c r="B968" t="s">
        <v>3829</v>
      </c>
      <c r="C968" t="s">
        <v>3830</v>
      </c>
      <c r="D968" t="s">
        <v>3686</v>
      </c>
      <c r="E968" t="s">
        <v>3687</v>
      </c>
      <c r="F968" t="s">
        <v>3831</v>
      </c>
      <c r="G968" t="s">
        <v>3832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 x14ac:dyDescent="0.3">
      <c r="A969" t="s">
        <v>3683</v>
      </c>
      <c r="B969" t="s">
        <v>3833</v>
      </c>
      <c r="C969" t="s">
        <v>3834</v>
      </c>
      <c r="D969" t="s">
        <v>3686</v>
      </c>
      <c r="E969" t="s">
        <v>3687</v>
      </c>
      <c r="F969" t="s">
        <v>3835</v>
      </c>
      <c r="G969" t="s">
        <v>3836</v>
      </c>
      <c r="H969">
        <v>0</v>
      </c>
      <c r="I969">
        <v>250</v>
      </c>
      <c r="J969">
        <v>0</v>
      </c>
      <c r="K969">
        <v>0</v>
      </c>
      <c r="L969">
        <v>0</v>
      </c>
      <c r="M969">
        <v>250</v>
      </c>
      <c r="N969">
        <v>0</v>
      </c>
      <c r="O969">
        <v>0</v>
      </c>
    </row>
    <row r="970" spans="1:15" x14ac:dyDescent="0.3">
      <c r="A970" t="s">
        <v>3683</v>
      </c>
      <c r="B970" t="s">
        <v>3837</v>
      </c>
      <c r="C970" t="s">
        <v>3838</v>
      </c>
      <c r="D970" t="s">
        <v>3686</v>
      </c>
      <c r="E970" t="s">
        <v>3687</v>
      </c>
      <c r="F970" t="s">
        <v>3839</v>
      </c>
      <c r="G970" t="s">
        <v>3840</v>
      </c>
      <c r="H970">
        <v>0</v>
      </c>
      <c r="I970">
        <v>250</v>
      </c>
      <c r="J970">
        <v>0</v>
      </c>
      <c r="K970">
        <v>0</v>
      </c>
      <c r="L970">
        <v>0</v>
      </c>
      <c r="M970">
        <v>250</v>
      </c>
      <c r="N970">
        <v>0</v>
      </c>
      <c r="O970">
        <v>0</v>
      </c>
    </row>
    <row r="971" spans="1:15" x14ac:dyDescent="0.3">
      <c r="A971" t="s">
        <v>3683</v>
      </c>
      <c r="B971" t="s">
        <v>3841</v>
      </c>
      <c r="C971" t="s">
        <v>3842</v>
      </c>
      <c r="D971" t="s">
        <v>3686</v>
      </c>
      <c r="E971" t="s">
        <v>3687</v>
      </c>
      <c r="F971" t="s">
        <v>3843</v>
      </c>
      <c r="G971" t="s">
        <v>3844</v>
      </c>
      <c r="H971">
        <v>0</v>
      </c>
      <c r="I971">
        <v>250</v>
      </c>
      <c r="J971">
        <v>0</v>
      </c>
      <c r="K971">
        <v>0</v>
      </c>
      <c r="L971">
        <v>0</v>
      </c>
      <c r="M971">
        <v>250</v>
      </c>
      <c r="N971">
        <v>0</v>
      </c>
      <c r="O971">
        <v>0</v>
      </c>
    </row>
    <row r="972" spans="1:15" x14ac:dyDescent="0.3">
      <c r="A972" t="s">
        <v>3683</v>
      </c>
      <c r="B972" t="s">
        <v>3845</v>
      </c>
      <c r="C972" t="s">
        <v>3846</v>
      </c>
      <c r="D972" t="s">
        <v>3686</v>
      </c>
      <c r="E972" t="s">
        <v>3687</v>
      </c>
      <c r="F972" t="s">
        <v>3847</v>
      </c>
      <c r="G972" t="s">
        <v>3848</v>
      </c>
      <c r="H972">
        <v>0</v>
      </c>
      <c r="I972">
        <v>250</v>
      </c>
      <c r="J972">
        <v>0</v>
      </c>
      <c r="K972">
        <v>0</v>
      </c>
      <c r="L972">
        <v>0</v>
      </c>
      <c r="M972">
        <v>250</v>
      </c>
      <c r="N972">
        <v>0</v>
      </c>
      <c r="O972">
        <v>0</v>
      </c>
    </row>
    <row r="973" spans="1:15" x14ac:dyDescent="0.3">
      <c r="A973" t="s">
        <v>3683</v>
      </c>
      <c r="B973" t="s">
        <v>3849</v>
      </c>
      <c r="C973" t="s">
        <v>3850</v>
      </c>
      <c r="D973" t="s">
        <v>3686</v>
      </c>
      <c r="E973" t="s">
        <v>3687</v>
      </c>
      <c r="F973" t="s">
        <v>3851</v>
      </c>
      <c r="G973" t="s">
        <v>3852</v>
      </c>
      <c r="H973">
        <v>50072</v>
      </c>
      <c r="I973">
        <v>6178</v>
      </c>
      <c r="J973">
        <v>68492</v>
      </c>
      <c r="K973">
        <v>0</v>
      </c>
      <c r="L973">
        <v>0</v>
      </c>
      <c r="M973">
        <v>250</v>
      </c>
      <c r="N973">
        <v>0</v>
      </c>
      <c r="O973">
        <v>0</v>
      </c>
    </row>
    <row r="974" spans="1:15" x14ac:dyDescent="0.3">
      <c r="A974" t="s">
        <v>3683</v>
      </c>
      <c r="B974" t="s">
        <v>3853</v>
      </c>
      <c r="C974" t="s">
        <v>3854</v>
      </c>
      <c r="D974" t="s">
        <v>3686</v>
      </c>
      <c r="E974" t="s">
        <v>3687</v>
      </c>
      <c r="F974" t="s">
        <v>3855</v>
      </c>
      <c r="G974" t="s">
        <v>3856</v>
      </c>
      <c r="H974">
        <v>0</v>
      </c>
      <c r="I974">
        <v>250</v>
      </c>
      <c r="J974">
        <v>0</v>
      </c>
      <c r="K974">
        <v>0</v>
      </c>
      <c r="L974">
        <v>0</v>
      </c>
      <c r="M974">
        <v>250</v>
      </c>
      <c r="N974">
        <v>0</v>
      </c>
      <c r="O974">
        <v>0</v>
      </c>
    </row>
    <row r="975" spans="1:15" x14ac:dyDescent="0.3">
      <c r="A975" t="s">
        <v>3683</v>
      </c>
      <c r="B975" t="s">
        <v>3857</v>
      </c>
      <c r="C975" t="s">
        <v>3858</v>
      </c>
      <c r="D975" t="s">
        <v>3686</v>
      </c>
      <c r="E975" t="s">
        <v>3687</v>
      </c>
      <c r="F975" t="s">
        <v>3859</v>
      </c>
      <c r="G975" t="s">
        <v>3860</v>
      </c>
      <c r="H975">
        <v>0</v>
      </c>
      <c r="I975">
        <v>250</v>
      </c>
      <c r="J975">
        <v>604</v>
      </c>
      <c r="K975">
        <v>0</v>
      </c>
      <c r="L975">
        <v>0</v>
      </c>
      <c r="M975">
        <v>250</v>
      </c>
      <c r="N975">
        <v>0</v>
      </c>
      <c r="O975">
        <v>0</v>
      </c>
    </row>
    <row r="976" spans="1:15" x14ac:dyDescent="0.3">
      <c r="A976" t="s">
        <v>3683</v>
      </c>
      <c r="B976" t="s">
        <v>3861</v>
      </c>
      <c r="C976" t="s">
        <v>3862</v>
      </c>
      <c r="D976" t="s">
        <v>3686</v>
      </c>
      <c r="E976" t="s">
        <v>3687</v>
      </c>
      <c r="F976" t="s">
        <v>3863</v>
      </c>
      <c r="G976" t="s">
        <v>3864</v>
      </c>
      <c r="H976">
        <v>0</v>
      </c>
      <c r="I976">
        <v>250</v>
      </c>
      <c r="J976">
        <v>389</v>
      </c>
      <c r="K976">
        <v>0</v>
      </c>
      <c r="L976">
        <v>0</v>
      </c>
      <c r="M976">
        <v>250</v>
      </c>
      <c r="N976">
        <v>0</v>
      </c>
      <c r="O976">
        <v>0</v>
      </c>
    </row>
    <row r="977" spans="1:15" x14ac:dyDescent="0.3">
      <c r="A977" t="s">
        <v>3683</v>
      </c>
      <c r="B977" t="s">
        <v>3865</v>
      </c>
      <c r="C977" t="s">
        <v>3866</v>
      </c>
      <c r="D977" t="s">
        <v>3686</v>
      </c>
      <c r="E977" t="s">
        <v>3687</v>
      </c>
      <c r="F977" t="s">
        <v>3867</v>
      </c>
      <c r="G977" t="s">
        <v>3868</v>
      </c>
      <c r="H977">
        <v>0</v>
      </c>
      <c r="I977">
        <v>250</v>
      </c>
      <c r="J977">
        <v>0</v>
      </c>
      <c r="K977">
        <v>0</v>
      </c>
      <c r="L977">
        <v>0</v>
      </c>
      <c r="M977">
        <v>250</v>
      </c>
      <c r="N977">
        <v>0</v>
      </c>
      <c r="O977">
        <v>0</v>
      </c>
    </row>
    <row r="978" spans="1:15" x14ac:dyDescent="0.3">
      <c r="A978" t="s">
        <v>3683</v>
      </c>
      <c r="B978" t="s">
        <v>3869</v>
      </c>
      <c r="C978" t="s">
        <v>3870</v>
      </c>
      <c r="D978" t="s">
        <v>3686</v>
      </c>
      <c r="E978" t="s">
        <v>3687</v>
      </c>
      <c r="F978" t="s">
        <v>3871</v>
      </c>
      <c r="G978" t="s">
        <v>3872</v>
      </c>
      <c r="H978">
        <v>0</v>
      </c>
      <c r="I978">
        <v>250</v>
      </c>
      <c r="J978">
        <v>0</v>
      </c>
      <c r="K978">
        <v>0</v>
      </c>
      <c r="L978">
        <v>0</v>
      </c>
      <c r="M978">
        <v>250</v>
      </c>
      <c r="N978">
        <v>0</v>
      </c>
      <c r="O978">
        <v>0</v>
      </c>
    </row>
    <row r="979" spans="1:15" x14ac:dyDescent="0.3">
      <c r="A979" t="s">
        <v>3683</v>
      </c>
      <c r="B979" t="s">
        <v>3873</v>
      </c>
      <c r="C979" t="s">
        <v>3874</v>
      </c>
      <c r="D979" t="s">
        <v>3686</v>
      </c>
      <c r="E979" t="s">
        <v>3687</v>
      </c>
      <c r="F979" t="s">
        <v>3875</v>
      </c>
      <c r="G979" t="s">
        <v>3876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 x14ac:dyDescent="0.3">
      <c r="A980" t="s">
        <v>3683</v>
      </c>
      <c r="B980" t="s">
        <v>3877</v>
      </c>
      <c r="C980" t="s">
        <v>3878</v>
      </c>
      <c r="D980" t="s">
        <v>3686</v>
      </c>
      <c r="E980" t="s">
        <v>3687</v>
      </c>
      <c r="F980" t="s">
        <v>3879</v>
      </c>
      <c r="G980" t="s">
        <v>3880</v>
      </c>
      <c r="H980">
        <v>0</v>
      </c>
      <c r="I980">
        <v>250</v>
      </c>
      <c r="J980">
        <v>0</v>
      </c>
      <c r="K980">
        <v>0</v>
      </c>
      <c r="L980">
        <v>0</v>
      </c>
      <c r="M980">
        <v>250</v>
      </c>
      <c r="N980">
        <v>0</v>
      </c>
      <c r="O980">
        <v>0</v>
      </c>
    </row>
    <row r="981" spans="1:15" x14ac:dyDescent="0.3">
      <c r="A981" t="s">
        <v>3683</v>
      </c>
      <c r="B981" t="s">
        <v>3881</v>
      </c>
      <c r="C981" t="s">
        <v>3882</v>
      </c>
      <c r="D981" t="s">
        <v>3686</v>
      </c>
      <c r="E981" t="s">
        <v>3687</v>
      </c>
      <c r="F981" t="s">
        <v>3883</v>
      </c>
      <c r="G981" t="s">
        <v>3884</v>
      </c>
      <c r="H981">
        <v>0</v>
      </c>
      <c r="I981">
        <v>902</v>
      </c>
      <c r="J981">
        <v>1693</v>
      </c>
      <c r="K981">
        <v>0</v>
      </c>
      <c r="L981">
        <v>0</v>
      </c>
      <c r="M981">
        <v>603</v>
      </c>
      <c r="N981">
        <v>0</v>
      </c>
      <c r="O981">
        <v>0</v>
      </c>
    </row>
    <row r="982" spans="1:15" x14ac:dyDescent="0.3">
      <c r="A982" t="s">
        <v>3683</v>
      </c>
      <c r="B982" t="s">
        <v>3885</v>
      </c>
      <c r="C982" t="s">
        <v>3886</v>
      </c>
      <c r="D982" t="s">
        <v>3686</v>
      </c>
      <c r="E982" t="s">
        <v>3687</v>
      </c>
      <c r="F982" t="s">
        <v>3887</v>
      </c>
      <c r="G982" t="s">
        <v>3888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 x14ac:dyDescent="0.3">
      <c r="A983" t="s">
        <v>3683</v>
      </c>
      <c r="B983" t="s">
        <v>3889</v>
      </c>
      <c r="C983" t="s">
        <v>3890</v>
      </c>
      <c r="D983" t="s">
        <v>3686</v>
      </c>
      <c r="E983" t="s">
        <v>3687</v>
      </c>
      <c r="F983" t="s">
        <v>3891</v>
      </c>
      <c r="G983" t="s">
        <v>3892</v>
      </c>
      <c r="H983">
        <v>0</v>
      </c>
      <c r="I983">
        <v>49</v>
      </c>
      <c r="J983">
        <v>666</v>
      </c>
      <c r="K983">
        <v>106</v>
      </c>
      <c r="L983">
        <v>2000</v>
      </c>
      <c r="M983">
        <v>49</v>
      </c>
      <c r="N983">
        <v>0</v>
      </c>
      <c r="O983">
        <v>0</v>
      </c>
    </row>
    <row r="984" spans="1:15" x14ac:dyDescent="0.3">
      <c r="A984" t="s">
        <v>3683</v>
      </c>
      <c r="B984" t="s">
        <v>3893</v>
      </c>
      <c r="C984" t="s">
        <v>3894</v>
      </c>
      <c r="D984" t="s">
        <v>3686</v>
      </c>
      <c r="E984" t="s">
        <v>3687</v>
      </c>
      <c r="F984" t="s">
        <v>3895</v>
      </c>
      <c r="G984" t="s">
        <v>3896</v>
      </c>
      <c r="H984">
        <v>0</v>
      </c>
      <c r="I984">
        <v>250</v>
      </c>
      <c r="J984">
        <v>0</v>
      </c>
      <c r="K984">
        <v>0</v>
      </c>
      <c r="L984">
        <v>0</v>
      </c>
      <c r="M984">
        <v>250</v>
      </c>
      <c r="N984">
        <v>0</v>
      </c>
      <c r="O984">
        <v>0</v>
      </c>
    </row>
    <row r="985" spans="1:15" x14ac:dyDescent="0.3">
      <c r="A985" t="s">
        <v>3683</v>
      </c>
      <c r="B985" t="s">
        <v>3897</v>
      </c>
      <c r="C985" t="s">
        <v>3898</v>
      </c>
      <c r="D985" t="s">
        <v>3686</v>
      </c>
      <c r="E985" t="s">
        <v>3687</v>
      </c>
      <c r="F985" t="s">
        <v>3899</v>
      </c>
      <c r="G985" t="s">
        <v>3900</v>
      </c>
      <c r="H985">
        <v>0</v>
      </c>
      <c r="I985">
        <v>250</v>
      </c>
      <c r="J985">
        <v>550</v>
      </c>
      <c r="K985">
        <v>0</v>
      </c>
      <c r="L985">
        <v>0</v>
      </c>
      <c r="M985">
        <v>250</v>
      </c>
      <c r="N985">
        <v>0</v>
      </c>
      <c r="O985">
        <v>0</v>
      </c>
    </row>
    <row r="986" spans="1:15" x14ac:dyDescent="0.3">
      <c r="A986" t="s">
        <v>3683</v>
      </c>
      <c r="B986" t="s">
        <v>3901</v>
      </c>
      <c r="C986" t="s">
        <v>3902</v>
      </c>
      <c r="D986" t="s">
        <v>3686</v>
      </c>
      <c r="E986" t="s">
        <v>3687</v>
      </c>
      <c r="F986" t="s">
        <v>3903</v>
      </c>
      <c r="G986" t="s">
        <v>3904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 spans="1:15" x14ac:dyDescent="0.3">
      <c r="A987" t="s">
        <v>3683</v>
      </c>
      <c r="B987" t="s">
        <v>3905</v>
      </c>
      <c r="C987" t="s">
        <v>3906</v>
      </c>
      <c r="D987" t="s">
        <v>3686</v>
      </c>
      <c r="E987" t="s">
        <v>3687</v>
      </c>
      <c r="F987" t="s">
        <v>3907</v>
      </c>
      <c r="G987" t="s">
        <v>3908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 x14ac:dyDescent="0.3">
      <c r="A988" t="s">
        <v>3683</v>
      </c>
      <c r="B988" t="s">
        <v>3909</v>
      </c>
      <c r="C988" t="s">
        <v>3910</v>
      </c>
      <c r="D988" t="s">
        <v>3686</v>
      </c>
      <c r="E988" t="s">
        <v>3687</v>
      </c>
      <c r="F988" t="s">
        <v>3911</v>
      </c>
      <c r="G988" t="s">
        <v>3912</v>
      </c>
      <c r="H988">
        <v>0</v>
      </c>
      <c r="I988">
        <v>250</v>
      </c>
      <c r="J988">
        <v>0</v>
      </c>
      <c r="K988">
        <v>0</v>
      </c>
      <c r="L988">
        <v>0</v>
      </c>
      <c r="M988">
        <v>250</v>
      </c>
      <c r="N988">
        <v>0</v>
      </c>
      <c r="O988">
        <v>0</v>
      </c>
    </row>
    <row r="989" spans="1:15" x14ac:dyDescent="0.3">
      <c r="A989" t="s">
        <v>3683</v>
      </c>
      <c r="B989" t="s">
        <v>3913</v>
      </c>
      <c r="C989" t="s">
        <v>3914</v>
      </c>
      <c r="D989" t="s">
        <v>3686</v>
      </c>
      <c r="E989" t="s">
        <v>3687</v>
      </c>
      <c r="F989" t="s">
        <v>3915</v>
      </c>
      <c r="G989" t="s">
        <v>3916</v>
      </c>
      <c r="H989">
        <v>0</v>
      </c>
      <c r="I989">
        <v>250</v>
      </c>
      <c r="J989">
        <v>0</v>
      </c>
      <c r="K989">
        <v>0</v>
      </c>
      <c r="L989">
        <v>0</v>
      </c>
      <c r="M989">
        <v>250</v>
      </c>
      <c r="N989">
        <v>0</v>
      </c>
      <c r="O989">
        <v>0</v>
      </c>
    </row>
    <row r="990" spans="1:15" x14ac:dyDescent="0.3">
      <c r="A990" t="s">
        <v>3683</v>
      </c>
      <c r="B990" t="s">
        <v>3917</v>
      </c>
      <c r="C990" t="s">
        <v>3918</v>
      </c>
      <c r="D990" t="s">
        <v>3686</v>
      </c>
      <c r="E990" t="s">
        <v>3687</v>
      </c>
      <c r="F990" t="s">
        <v>3919</v>
      </c>
      <c r="G990" t="s">
        <v>3920</v>
      </c>
      <c r="H990">
        <v>0</v>
      </c>
      <c r="I990">
        <v>250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 x14ac:dyDescent="0.3">
      <c r="A991" t="s">
        <v>3683</v>
      </c>
      <c r="B991" t="s">
        <v>3921</v>
      </c>
      <c r="C991" t="s">
        <v>3922</v>
      </c>
      <c r="D991" t="s">
        <v>3686</v>
      </c>
      <c r="E991" t="s">
        <v>3687</v>
      </c>
      <c r="F991" t="s">
        <v>3923</v>
      </c>
      <c r="G991" t="s">
        <v>3924</v>
      </c>
      <c r="H991">
        <v>0</v>
      </c>
      <c r="I991">
        <v>250</v>
      </c>
      <c r="J991">
        <v>516</v>
      </c>
      <c r="K991">
        <v>0</v>
      </c>
      <c r="L991">
        <v>0</v>
      </c>
      <c r="M991">
        <v>250</v>
      </c>
      <c r="N991">
        <v>0</v>
      </c>
      <c r="O991">
        <v>0</v>
      </c>
    </row>
    <row r="992" spans="1:15" x14ac:dyDescent="0.3">
      <c r="A992" t="s">
        <v>3683</v>
      </c>
      <c r="B992" t="s">
        <v>3925</v>
      </c>
      <c r="C992" t="s">
        <v>3926</v>
      </c>
      <c r="D992" t="s">
        <v>3686</v>
      </c>
      <c r="E992" t="s">
        <v>3687</v>
      </c>
      <c r="F992" t="s">
        <v>3927</v>
      </c>
      <c r="G992" t="s">
        <v>3928</v>
      </c>
      <c r="H992">
        <v>0</v>
      </c>
      <c r="I992">
        <v>250</v>
      </c>
      <c r="J992">
        <v>0</v>
      </c>
      <c r="K992">
        <v>0</v>
      </c>
      <c r="L992">
        <v>0</v>
      </c>
      <c r="M992">
        <v>250</v>
      </c>
      <c r="N992">
        <v>0</v>
      </c>
      <c r="O992">
        <v>0</v>
      </c>
    </row>
    <row r="993" spans="1:15" x14ac:dyDescent="0.3">
      <c r="A993" t="s">
        <v>3683</v>
      </c>
      <c r="B993" t="s">
        <v>3929</v>
      </c>
      <c r="C993" t="s">
        <v>3930</v>
      </c>
      <c r="D993" t="s">
        <v>3686</v>
      </c>
      <c r="E993" t="s">
        <v>3687</v>
      </c>
      <c r="F993" t="s">
        <v>3931</v>
      </c>
      <c r="G993" t="s">
        <v>3932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 x14ac:dyDescent="0.3">
      <c r="A994" t="s">
        <v>3683</v>
      </c>
      <c r="B994" t="s">
        <v>3933</v>
      </c>
      <c r="C994" t="s">
        <v>3934</v>
      </c>
      <c r="D994" t="s">
        <v>3686</v>
      </c>
      <c r="E994" t="s">
        <v>3687</v>
      </c>
      <c r="F994" t="s">
        <v>3935</v>
      </c>
      <c r="G994" t="s">
        <v>3936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 x14ac:dyDescent="0.3">
      <c r="A995" t="s">
        <v>3683</v>
      </c>
      <c r="B995" t="s">
        <v>3937</v>
      </c>
      <c r="C995" t="s">
        <v>3938</v>
      </c>
      <c r="D995" t="s">
        <v>3686</v>
      </c>
      <c r="E995" t="s">
        <v>3687</v>
      </c>
      <c r="F995" t="s">
        <v>3939</v>
      </c>
      <c r="G995" t="s">
        <v>3940</v>
      </c>
      <c r="H995">
        <v>0</v>
      </c>
      <c r="I995">
        <v>250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 x14ac:dyDescent="0.3">
      <c r="A996" t="s">
        <v>3683</v>
      </c>
      <c r="B996" t="s">
        <v>3941</v>
      </c>
      <c r="C996" t="s">
        <v>3942</v>
      </c>
      <c r="D996" t="s">
        <v>3686</v>
      </c>
      <c r="E996" t="s">
        <v>3687</v>
      </c>
      <c r="F996" t="s">
        <v>3943</v>
      </c>
      <c r="G996" t="s">
        <v>3944</v>
      </c>
      <c r="H996">
        <v>0</v>
      </c>
      <c r="I996">
        <v>250</v>
      </c>
      <c r="J996">
        <v>1512</v>
      </c>
      <c r="K996">
        <v>0</v>
      </c>
      <c r="L996">
        <v>0</v>
      </c>
      <c r="M996">
        <v>250</v>
      </c>
      <c r="N996">
        <v>0</v>
      </c>
      <c r="O996">
        <v>0</v>
      </c>
    </row>
    <row r="997" spans="1:15" x14ac:dyDescent="0.3">
      <c r="A997" t="s">
        <v>3683</v>
      </c>
      <c r="B997" t="s">
        <v>3945</v>
      </c>
      <c r="C997" t="s">
        <v>3946</v>
      </c>
      <c r="D997" t="s">
        <v>3686</v>
      </c>
      <c r="E997" t="s">
        <v>3687</v>
      </c>
      <c r="F997" t="s">
        <v>3947</v>
      </c>
      <c r="G997" t="s">
        <v>3948</v>
      </c>
      <c r="H997">
        <v>0</v>
      </c>
      <c r="I997">
        <v>250</v>
      </c>
      <c r="J997">
        <v>0</v>
      </c>
      <c r="K997">
        <v>0</v>
      </c>
      <c r="L997">
        <v>0</v>
      </c>
      <c r="M997">
        <v>250</v>
      </c>
      <c r="N997">
        <v>0</v>
      </c>
      <c r="O997">
        <v>0</v>
      </c>
    </row>
    <row r="998" spans="1:15" x14ac:dyDescent="0.3">
      <c r="A998" t="s">
        <v>3683</v>
      </c>
      <c r="B998" t="s">
        <v>3949</v>
      </c>
      <c r="C998" t="s">
        <v>3950</v>
      </c>
      <c r="D998" t="s">
        <v>3686</v>
      </c>
      <c r="E998" t="s">
        <v>3687</v>
      </c>
      <c r="F998" t="s">
        <v>3951</v>
      </c>
      <c r="G998" t="s">
        <v>3952</v>
      </c>
      <c r="H998">
        <v>0</v>
      </c>
      <c r="I998">
        <v>250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 x14ac:dyDescent="0.3">
      <c r="A999" t="s">
        <v>3683</v>
      </c>
      <c r="B999" t="s">
        <v>3953</v>
      </c>
      <c r="C999" t="s">
        <v>3954</v>
      </c>
      <c r="D999" t="s">
        <v>3686</v>
      </c>
      <c r="E999" t="s">
        <v>3687</v>
      </c>
      <c r="F999" t="s">
        <v>3955</v>
      </c>
      <c r="G999" t="s">
        <v>3956</v>
      </c>
      <c r="H999">
        <v>0</v>
      </c>
      <c r="I999">
        <v>250</v>
      </c>
      <c r="J999">
        <v>0</v>
      </c>
      <c r="K999">
        <v>0</v>
      </c>
      <c r="L999">
        <v>0</v>
      </c>
      <c r="M999">
        <v>250</v>
      </c>
      <c r="N999">
        <v>0</v>
      </c>
      <c r="O999">
        <v>0</v>
      </c>
    </row>
    <row r="1000" spans="1:15" x14ac:dyDescent="0.3">
      <c r="A1000" t="s">
        <v>3683</v>
      </c>
      <c r="B1000" t="s">
        <v>3957</v>
      </c>
      <c r="C1000" t="s">
        <v>3958</v>
      </c>
      <c r="D1000" t="s">
        <v>3686</v>
      </c>
      <c r="E1000" t="s">
        <v>3687</v>
      </c>
      <c r="F1000" t="s">
        <v>3959</v>
      </c>
      <c r="G1000" t="s">
        <v>3960</v>
      </c>
      <c r="H1000">
        <v>0</v>
      </c>
      <c r="I1000">
        <v>250</v>
      </c>
      <c r="J1000">
        <v>0</v>
      </c>
      <c r="K1000">
        <v>0</v>
      </c>
      <c r="L1000">
        <v>0</v>
      </c>
      <c r="M1000">
        <v>250</v>
      </c>
      <c r="N1000">
        <v>0</v>
      </c>
      <c r="O1000">
        <v>0</v>
      </c>
    </row>
    <row r="1001" spans="1:15" x14ac:dyDescent="0.3">
      <c r="A1001" t="s">
        <v>3683</v>
      </c>
      <c r="B1001" t="s">
        <v>3961</v>
      </c>
      <c r="C1001" t="s">
        <v>3962</v>
      </c>
      <c r="D1001" t="s">
        <v>3686</v>
      </c>
      <c r="E1001" t="s">
        <v>3687</v>
      </c>
      <c r="F1001" t="s">
        <v>3963</v>
      </c>
      <c r="G1001" t="s">
        <v>3964</v>
      </c>
      <c r="H1001">
        <v>0</v>
      </c>
      <c r="I1001">
        <v>250</v>
      </c>
      <c r="J1001">
        <v>0</v>
      </c>
      <c r="K1001">
        <v>0</v>
      </c>
      <c r="L1001">
        <v>0</v>
      </c>
      <c r="M1001">
        <v>250</v>
      </c>
      <c r="N1001">
        <v>0</v>
      </c>
      <c r="O1001">
        <v>0</v>
      </c>
    </row>
    <row r="1002" spans="1:15" x14ac:dyDescent="0.3">
      <c r="A1002" t="s">
        <v>3683</v>
      </c>
      <c r="B1002" t="s">
        <v>3965</v>
      </c>
      <c r="C1002" t="s">
        <v>3966</v>
      </c>
      <c r="D1002" t="s">
        <v>3686</v>
      </c>
      <c r="E1002" t="s">
        <v>3687</v>
      </c>
      <c r="F1002" t="s">
        <v>3967</v>
      </c>
      <c r="G1002" t="s">
        <v>3968</v>
      </c>
      <c r="H1002">
        <v>0</v>
      </c>
      <c r="I1002">
        <v>250</v>
      </c>
      <c r="J1002">
        <v>0</v>
      </c>
      <c r="K1002">
        <v>0</v>
      </c>
      <c r="L1002">
        <v>0</v>
      </c>
      <c r="M1002">
        <v>250</v>
      </c>
      <c r="N1002">
        <v>0</v>
      </c>
      <c r="O1002">
        <v>0</v>
      </c>
    </row>
    <row r="1003" spans="1:15" x14ac:dyDescent="0.3">
      <c r="A1003" t="s">
        <v>3683</v>
      </c>
      <c r="B1003" t="s">
        <v>3969</v>
      </c>
      <c r="C1003" t="s">
        <v>3970</v>
      </c>
      <c r="D1003" t="s">
        <v>3686</v>
      </c>
      <c r="E1003" t="s">
        <v>3687</v>
      </c>
      <c r="F1003" t="s">
        <v>3971</v>
      </c>
      <c r="G1003" t="s">
        <v>3972</v>
      </c>
      <c r="H1003">
        <v>0</v>
      </c>
      <c r="I1003">
        <v>250</v>
      </c>
      <c r="J1003">
        <v>3468</v>
      </c>
      <c r="K1003">
        <v>195</v>
      </c>
      <c r="L1003">
        <v>0</v>
      </c>
      <c r="M1003">
        <v>250</v>
      </c>
      <c r="N1003">
        <v>0</v>
      </c>
      <c r="O1003">
        <v>0</v>
      </c>
    </row>
    <row r="1004" spans="1:15" x14ac:dyDescent="0.3">
      <c r="A1004" t="s">
        <v>3683</v>
      </c>
      <c r="B1004" t="s">
        <v>3973</v>
      </c>
      <c r="C1004" t="s">
        <v>3974</v>
      </c>
      <c r="D1004" t="s">
        <v>3686</v>
      </c>
      <c r="E1004" t="s">
        <v>3687</v>
      </c>
      <c r="F1004" t="s">
        <v>3975</v>
      </c>
      <c r="G1004" t="s">
        <v>3976</v>
      </c>
      <c r="H1004">
        <v>0</v>
      </c>
      <c r="I1004">
        <v>250</v>
      </c>
      <c r="J1004">
        <v>0</v>
      </c>
      <c r="K1004">
        <v>0</v>
      </c>
      <c r="L1004">
        <v>0</v>
      </c>
      <c r="M1004">
        <v>250</v>
      </c>
      <c r="N1004">
        <v>0</v>
      </c>
      <c r="O1004">
        <v>0</v>
      </c>
    </row>
    <row r="1005" spans="1:15" x14ac:dyDescent="0.3">
      <c r="A1005" t="s">
        <v>3683</v>
      </c>
      <c r="B1005" t="s">
        <v>3977</v>
      </c>
      <c r="C1005" t="s">
        <v>3978</v>
      </c>
      <c r="D1005" t="s">
        <v>3686</v>
      </c>
      <c r="E1005" t="s">
        <v>3687</v>
      </c>
      <c r="F1005" t="s">
        <v>3979</v>
      </c>
      <c r="G1005" t="s">
        <v>3980</v>
      </c>
      <c r="H1005">
        <v>0</v>
      </c>
      <c r="I1005">
        <v>250</v>
      </c>
      <c r="J1005">
        <v>540</v>
      </c>
      <c r="K1005">
        <v>0</v>
      </c>
      <c r="L1005">
        <v>0</v>
      </c>
      <c r="M1005">
        <v>250</v>
      </c>
      <c r="N1005">
        <v>0</v>
      </c>
      <c r="O1005">
        <v>0</v>
      </c>
    </row>
    <row r="1006" spans="1:15" x14ac:dyDescent="0.3">
      <c r="A1006" t="s">
        <v>3683</v>
      </c>
      <c r="B1006" t="s">
        <v>3981</v>
      </c>
      <c r="C1006" t="s">
        <v>3982</v>
      </c>
      <c r="D1006" t="s">
        <v>3686</v>
      </c>
      <c r="E1006" t="s">
        <v>3687</v>
      </c>
      <c r="F1006" t="s">
        <v>3983</v>
      </c>
      <c r="G1006" t="s">
        <v>3984</v>
      </c>
      <c r="H1006">
        <v>0</v>
      </c>
      <c r="I1006">
        <v>1660</v>
      </c>
      <c r="J1006">
        <v>2299</v>
      </c>
      <c r="K1006">
        <v>0</v>
      </c>
      <c r="L1006">
        <v>0</v>
      </c>
      <c r="M1006">
        <v>1164</v>
      </c>
      <c r="N1006">
        <v>0</v>
      </c>
      <c r="O1006">
        <v>0</v>
      </c>
    </row>
    <row r="1007" spans="1:15" x14ac:dyDescent="0.3">
      <c r="A1007" t="s">
        <v>3683</v>
      </c>
      <c r="B1007" t="s">
        <v>3985</v>
      </c>
      <c r="C1007" t="s">
        <v>3986</v>
      </c>
      <c r="D1007" t="s">
        <v>3686</v>
      </c>
      <c r="E1007" t="s">
        <v>3687</v>
      </c>
      <c r="F1007" t="s">
        <v>3987</v>
      </c>
      <c r="G1007" t="s">
        <v>3988</v>
      </c>
      <c r="H1007">
        <v>0</v>
      </c>
      <c r="I1007">
        <v>250</v>
      </c>
      <c r="J1007">
        <v>0</v>
      </c>
      <c r="K1007">
        <v>0</v>
      </c>
      <c r="L1007">
        <v>0</v>
      </c>
      <c r="M1007">
        <v>250</v>
      </c>
      <c r="N1007">
        <v>0</v>
      </c>
      <c r="O1007">
        <v>0</v>
      </c>
    </row>
    <row r="1008" spans="1:15" x14ac:dyDescent="0.3">
      <c r="A1008" t="s">
        <v>3683</v>
      </c>
      <c r="B1008" t="s">
        <v>3989</v>
      </c>
      <c r="C1008" t="s">
        <v>3990</v>
      </c>
      <c r="D1008" t="s">
        <v>3686</v>
      </c>
      <c r="E1008" t="s">
        <v>3687</v>
      </c>
      <c r="F1008" t="s">
        <v>3991</v>
      </c>
      <c r="G1008" t="s">
        <v>3992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 x14ac:dyDescent="0.3">
      <c r="A1009" t="s">
        <v>3683</v>
      </c>
      <c r="B1009" t="s">
        <v>3993</v>
      </c>
      <c r="C1009" t="s">
        <v>3994</v>
      </c>
      <c r="D1009" t="s">
        <v>3686</v>
      </c>
      <c r="E1009" t="s">
        <v>3687</v>
      </c>
      <c r="F1009" t="s">
        <v>3995</v>
      </c>
      <c r="G1009" t="s">
        <v>3996</v>
      </c>
      <c r="H1009">
        <v>0</v>
      </c>
      <c r="I1009">
        <v>250</v>
      </c>
      <c r="J1009">
        <v>2285</v>
      </c>
      <c r="K1009">
        <v>457</v>
      </c>
      <c r="L1009">
        <v>0</v>
      </c>
      <c r="M1009">
        <v>250</v>
      </c>
      <c r="N1009">
        <v>0</v>
      </c>
      <c r="O1009">
        <v>0</v>
      </c>
    </row>
    <row r="1010" spans="1:15" x14ac:dyDescent="0.3">
      <c r="A1010" t="s">
        <v>3683</v>
      </c>
      <c r="B1010" t="s">
        <v>3997</v>
      </c>
      <c r="C1010" t="s">
        <v>3998</v>
      </c>
      <c r="D1010" t="s">
        <v>3686</v>
      </c>
      <c r="E1010" t="s">
        <v>3687</v>
      </c>
      <c r="F1010" t="s">
        <v>3999</v>
      </c>
      <c r="G1010" t="s">
        <v>4000</v>
      </c>
      <c r="H1010">
        <v>0</v>
      </c>
      <c r="I1010">
        <v>250</v>
      </c>
      <c r="J1010">
        <v>0</v>
      </c>
      <c r="K1010">
        <v>0</v>
      </c>
      <c r="L1010">
        <v>0</v>
      </c>
      <c r="M1010">
        <v>250</v>
      </c>
      <c r="N1010">
        <v>0</v>
      </c>
      <c r="O1010">
        <v>0</v>
      </c>
    </row>
    <row r="1011" spans="1:15" x14ac:dyDescent="0.3">
      <c r="A1011" t="s">
        <v>3683</v>
      </c>
      <c r="B1011" t="s">
        <v>4001</v>
      </c>
      <c r="C1011" t="s">
        <v>4002</v>
      </c>
      <c r="D1011" t="s">
        <v>3686</v>
      </c>
      <c r="E1011" t="s">
        <v>3687</v>
      </c>
      <c r="F1011" t="s">
        <v>4003</v>
      </c>
      <c r="G1011" t="s">
        <v>4004</v>
      </c>
      <c r="H1011">
        <v>7602</v>
      </c>
      <c r="I1011">
        <v>760</v>
      </c>
      <c r="J1011">
        <v>17454</v>
      </c>
      <c r="K1011">
        <v>2135</v>
      </c>
      <c r="L1011">
        <v>4600</v>
      </c>
      <c r="M1011">
        <v>4</v>
      </c>
      <c r="N1011">
        <v>0</v>
      </c>
      <c r="O1011">
        <v>0</v>
      </c>
    </row>
    <row r="1012" spans="1:15" x14ac:dyDescent="0.3">
      <c r="A1012" t="s">
        <v>3683</v>
      </c>
      <c r="B1012" t="s">
        <v>4005</v>
      </c>
      <c r="C1012" t="s">
        <v>4006</v>
      </c>
      <c r="D1012" t="s">
        <v>3686</v>
      </c>
      <c r="E1012" t="s">
        <v>3687</v>
      </c>
      <c r="F1012" t="s">
        <v>4007</v>
      </c>
      <c r="G1012">
        <f>256705007615 / 256774607615</f>
        <v>0.99972894516071331</v>
      </c>
      <c r="H1012">
        <v>0</v>
      </c>
      <c r="I1012">
        <v>250</v>
      </c>
      <c r="J1012">
        <v>0</v>
      </c>
      <c r="K1012">
        <v>0</v>
      </c>
      <c r="L1012">
        <v>0</v>
      </c>
      <c r="M1012">
        <v>250</v>
      </c>
      <c r="N1012">
        <v>0</v>
      </c>
      <c r="O1012">
        <v>0</v>
      </c>
    </row>
    <row r="1013" spans="1:15" x14ac:dyDescent="0.3">
      <c r="A1013" t="s">
        <v>3683</v>
      </c>
      <c r="B1013" t="s">
        <v>4008</v>
      </c>
      <c r="C1013" t="s">
        <v>4009</v>
      </c>
      <c r="D1013" t="s">
        <v>3686</v>
      </c>
      <c r="E1013" t="s">
        <v>3687</v>
      </c>
      <c r="F1013" t="s">
        <v>4010</v>
      </c>
      <c r="G1013" t="s">
        <v>4011</v>
      </c>
      <c r="H1013">
        <v>0</v>
      </c>
      <c r="I1013">
        <v>250</v>
      </c>
      <c r="J1013">
        <v>0</v>
      </c>
      <c r="K1013">
        <v>0</v>
      </c>
      <c r="L1013">
        <v>0</v>
      </c>
      <c r="M1013">
        <v>250</v>
      </c>
      <c r="N1013">
        <v>0</v>
      </c>
      <c r="O1013">
        <v>0</v>
      </c>
    </row>
    <row r="1014" spans="1:15" x14ac:dyDescent="0.3">
      <c r="A1014" t="s">
        <v>3683</v>
      </c>
      <c r="B1014" t="s">
        <v>4012</v>
      </c>
      <c r="C1014" t="s">
        <v>4013</v>
      </c>
      <c r="D1014" t="s">
        <v>3686</v>
      </c>
      <c r="E1014" t="s">
        <v>3687</v>
      </c>
      <c r="F1014" t="s">
        <v>4014</v>
      </c>
      <c r="G1014" t="s">
        <v>4015</v>
      </c>
      <c r="H1014">
        <v>0</v>
      </c>
      <c r="I1014">
        <v>250</v>
      </c>
      <c r="J1014">
        <v>0</v>
      </c>
      <c r="K1014">
        <v>0</v>
      </c>
      <c r="L1014">
        <v>0</v>
      </c>
      <c r="M1014">
        <v>250</v>
      </c>
      <c r="N1014">
        <v>0</v>
      </c>
      <c r="O1014">
        <v>0</v>
      </c>
    </row>
    <row r="1015" spans="1:15" x14ac:dyDescent="0.3">
      <c r="A1015" t="s">
        <v>3683</v>
      </c>
      <c r="B1015" t="s">
        <v>4016</v>
      </c>
      <c r="C1015" t="s">
        <v>4017</v>
      </c>
      <c r="D1015" t="s">
        <v>3686</v>
      </c>
      <c r="E1015" t="s">
        <v>3687</v>
      </c>
      <c r="F1015" t="s">
        <v>4018</v>
      </c>
      <c r="G1015" t="s">
        <v>4019</v>
      </c>
      <c r="H1015">
        <v>0</v>
      </c>
      <c r="I1015">
        <v>250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1:15" x14ac:dyDescent="0.3">
      <c r="A1016" t="s">
        <v>3683</v>
      </c>
      <c r="B1016" t="s">
        <v>4020</v>
      </c>
      <c r="C1016" t="s">
        <v>4021</v>
      </c>
      <c r="D1016" t="s">
        <v>3686</v>
      </c>
      <c r="E1016" t="s">
        <v>3687</v>
      </c>
      <c r="F1016" t="s">
        <v>4022</v>
      </c>
      <c r="G1016" t="s">
        <v>4023</v>
      </c>
      <c r="H1016">
        <v>0</v>
      </c>
      <c r="I1016">
        <v>250</v>
      </c>
      <c r="J1016">
        <v>0</v>
      </c>
      <c r="K1016">
        <v>0</v>
      </c>
      <c r="L1016">
        <v>0</v>
      </c>
      <c r="M1016">
        <v>250</v>
      </c>
      <c r="N1016">
        <v>0</v>
      </c>
      <c r="O1016">
        <v>0</v>
      </c>
    </row>
    <row r="1017" spans="1:15" x14ac:dyDescent="0.3">
      <c r="A1017" t="s">
        <v>3683</v>
      </c>
      <c r="B1017" t="s">
        <v>4024</v>
      </c>
      <c r="C1017" t="s">
        <v>4025</v>
      </c>
      <c r="D1017" t="s">
        <v>3686</v>
      </c>
      <c r="E1017" t="s">
        <v>3687</v>
      </c>
      <c r="F1017" t="s">
        <v>4026</v>
      </c>
      <c r="G1017" t="s">
        <v>4027</v>
      </c>
      <c r="H1017">
        <v>0</v>
      </c>
      <c r="I1017">
        <v>1538</v>
      </c>
      <c r="J1017">
        <v>0</v>
      </c>
      <c r="K1017">
        <v>0</v>
      </c>
      <c r="L1017">
        <v>0</v>
      </c>
      <c r="M1017">
        <v>1538</v>
      </c>
      <c r="N1017">
        <v>0</v>
      </c>
      <c r="O1017">
        <v>0</v>
      </c>
    </row>
    <row r="1018" spans="1:15" x14ac:dyDescent="0.3">
      <c r="A1018" t="s">
        <v>3683</v>
      </c>
      <c r="B1018" t="s">
        <v>4028</v>
      </c>
      <c r="C1018" t="s">
        <v>4029</v>
      </c>
      <c r="D1018" t="s">
        <v>3686</v>
      </c>
      <c r="E1018" t="s">
        <v>3687</v>
      </c>
      <c r="F1018" t="s">
        <v>4030</v>
      </c>
      <c r="G1018" t="s">
        <v>4031</v>
      </c>
      <c r="H1018">
        <v>102</v>
      </c>
      <c r="I1018">
        <v>250</v>
      </c>
      <c r="J1018">
        <v>405</v>
      </c>
      <c r="K1018">
        <v>0</v>
      </c>
      <c r="L1018">
        <v>0</v>
      </c>
      <c r="M1018">
        <v>250</v>
      </c>
      <c r="N1018">
        <v>0</v>
      </c>
      <c r="O1018">
        <v>0</v>
      </c>
    </row>
    <row r="1019" spans="1:15" x14ac:dyDescent="0.3">
      <c r="A1019" t="s">
        <v>3683</v>
      </c>
      <c r="B1019" t="s">
        <v>4032</v>
      </c>
      <c r="C1019" t="s">
        <v>4033</v>
      </c>
      <c r="D1019" t="s">
        <v>3686</v>
      </c>
      <c r="E1019" t="s">
        <v>3687</v>
      </c>
      <c r="F1019" t="s">
        <v>4034</v>
      </c>
      <c r="G1019" t="s">
        <v>4035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 x14ac:dyDescent="0.3">
      <c r="A1020" t="s">
        <v>3683</v>
      </c>
      <c r="B1020" t="s">
        <v>4036</v>
      </c>
      <c r="C1020" t="s">
        <v>4037</v>
      </c>
      <c r="D1020" t="s">
        <v>3686</v>
      </c>
      <c r="E1020" t="s">
        <v>3687</v>
      </c>
      <c r="F1020" t="s">
        <v>4038</v>
      </c>
      <c r="G1020" t="s">
        <v>4039</v>
      </c>
      <c r="H1020">
        <v>0</v>
      </c>
      <c r="I1020">
        <v>250</v>
      </c>
      <c r="J1020">
        <v>133</v>
      </c>
      <c r="K1020">
        <v>0</v>
      </c>
      <c r="L1020">
        <v>0</v>
      </c>
      <c r="M1020">
        <v>250</v>
      </c>
      <c r="N1020">
        <v>0</v>
      </c>
      <c r="O1020">
        <v>0</v>
      </c>
    </row>
    <row r="1021" spans="1:15" x14ac:dyDescent="0.3">
      <c r="A1021" t="s">
        <v>3683</v>
      </c>
      <c r="B1021" t="s">
        <v>4040</v>
      </c>
      <c r="C1021" t="s">
        <v>4041</v>
      </c>
      <c r="D1021" t="s">
        <v>3686</v>
      </c>
      <c r="E1021" t="s">
        <v>3687</v>
      </c>
      <c r="F1021" t="s">
        <v>4042</v>
      </c>
      <c r="G1021" t="s">
        <v>4043</v>
      </c>
      <c r="H1021">
        <v>1656</v>
      </c>
      <c r="I1021">
        <v>7560</v>
      </c>
      <c r="J1021">
        <v>26848</v>
      </c>
      <c r="K1021">
        <v>1888</v>
      </c>
      <c r="L1021">
        <v>0</v>
      </c>
      <c r="M1021">
        <v>5712</v>
      </c>
      <c r="N1021">
        <v>0</v>
      </c>
      <c r="O1021">
        <v>0</v>
      </c>
    </row>
    <row r="1022" spans="1:15" x14ac:dyDescent="0.3">
      <c r="A1022" t="s">
        <v>3683</v>
      </c>
      <c r="B1022" t="s">
        <v>4044</v>
      </c>
      <c r="C1022" t="s">
        <v>4045</v>
      </c>
      <c r="D1022" t="s">
        <v>3686</v>
      </c>
      <c r="E1022" t="s">
        <v>3687</v>
      </c>
      <c r="F1022" t="s">
        <v>4046</v>
      </c>
      <c r="G1022" t="s">
        <v>4047</v>
      </c>
      <c r="H1022">
        <v>0</v>
      </c>
      <c r="I1022">
        <v>250</v>
      </c>
      <c r="J1022">
        <v>12153</v>
      </c>
      <c r="K1022">
        <v>0</v>
      </c>
      <c r="L1022">
        <v>0</v>
      </c>
      <c r="M1022">
        <v>250</v>
      </c>
      <c r="N1022">
        <v>0</v>
      </c>
      <c r="O1022">
        <v>0</v>
      </c>
    </row>
    <row r="1023" spans="1:15" x14ac:dyDescent="0.3">
      <c r="A1023" t="s">
        <v>3683</v>
      </c>
      <c r="B1023" t="s">
        <v>4048</v>
      </c>
      <c r="C1023" t="s">
        <v>4049</v>
      </c>
      <c r="D1023" t="s">
        <v>3686</v>
      </c>
      <c r="E1023" t="s">
        <v>3687</v>
      </c>
      <c r="F1023" t="s">
        <v>4050</v>
      </c>
      <c r="G1023" t="s">
        <v>4051</v>
      </c>
      <c r="H1023">
        <v>0</v>
      </c>
      <c r="I1023">
        <v>250</v>
      </c>
      <c r="J1023">
        <v>0</v>
      </c>
      <c r="K1023">
        <v>0</v>
      </c>
      <c r="L1023">
        <v>0</v>
      </c>
      <c r="M1023">
        <v>250</v>
      </c>
      <c r="N1023">
        <v>0</v>
      </c>
      <c r="O1023">
        <v>0</v>
      </c>
    </row>
    <row r="1024" spans="1:15" x14ac:dyDescent="0.3">
      <c r="A1024" t="s">
        <v>3683</v>
      </c>
      <c r="B1024" t="s">
        <v>4052</v>
      </c>
      <c r="C1024" t="s">
        <v>4053</v>
      </c>
      <c r="D1024" t="s">
        <v>3686</v>
      </c>
      <c r="E1024" t="s">
        <v>3687</v>
      </c>
      <c r="F1024" t="s">
        <v>4054</v>
      </c>
      <c r="G1024" t="s">
        <v>4055</v>
      </c>
      <c r="H1024">
        <v>0</v>
      </c>
      <c r="I1024">
        <v>250</v>
      </c>
      <c r="J1024">
        <v>0</v>
      </c>
      <c r="K1024">
        <v>0</v>
      </c>
      <c r="L1024">
        <v>0</v>
      </c>
      <c r="M1024">
        <v>250</v>
      </c>
      <c r="N1024">
        <v>0</v>
      </c>
      <c r="O1024">
        <v>0</v>
      </c>
    </row>
    <row r="1025" spans="1:15" x14ac:dyDescent="0.3">
      <c r="A1025" t="s">
        <v>3683</v>
      </c>
      <c r="B1025" t="s">
        <v>4056</v>
      </c>
      <c r="C1025" t="s">
        <v>4057</v>
      </c>
      <c r="D1025" t="s">
        <v>3686</v>
      </c>
      <c r="E1025" t="s">
        <v>3687</v>
      </c>
      <c r="F1025" t="s">
        <v>4058</v>
      </c>
      <c r="G1025" t="s">
        <v>4059</v>
      </c>
      <c r="H1025">
        <v>0</v>
      </c>
      <c r="I1025">
        <v>3661</v>
      </c>
      <c r="J1025">
        <v>0</v>
      </c>
      <c r="K1025">
        <v>803</v>
      </c>
      <c r="L1025">
        <v>0</v>
      </c>
      <c r="M1025">
        <v>250</v>
      </c>
      <c r="N1025">
        <v>0</v>
      </c>
      <c r="O1025">
        <v>0</v>
      </c>
    </row>
    <row r="1026" spans="1:15" x14ac:dyDescent="0.3">
      <c r="A1026" t="s">
        <v>3683</v>
      </c>
      <c r="B1026" t="s">
        <v>4060</v>
      </c>
      <c r="C1026" t="s">
        <v>4061</v>
      </c>
      <c r="D1026" t="s">
        <v>3686</v>
      </c>
      <c r="E1026" t="s">
        <v>3687</v>
      </c>
      <c r="F1026" t="s">
        <v>4062</v>
      </c>
      <c r="G1026">
        <f>256759233313 / 755786543</f>
        <v>339.72453689612729</v>
      </c>
      <c r="H1026">
        <v>4067</v>
      </c>
      <c r="I1026">
        <v>1406</v>
      </c>
      <c r="J1026">
        <v>10089</v>
      </c>
      <c r="K1026">
        <v>0</v>
      </c>
      <c r="L1026">
        <v>0</v>
      </c>
      <c r="M1026">
        <v>766</v>
      </c>
      <c r="N1026">
        <v>0</v>
      </c>
      <c r="O1026">
        <v>0</v>
      </c>
    </row>
    <row r="1027" spans="1:15" x14ac:dyDescent="0.3">
      <c r="A1027" t="s">
        <v>3683</v>
      </c>
      <c r="B1027" t="s">
        <v>4063</v>
      </c>
      <c r="C1027" t="s">
        <v>4064</v>
      </c>
      <c r="D1027" t="s">
        <v>3686</v>
      </c>
      <c r="E1027" t="s">
        <v>3687</v>
      </c>
      <c r="F1027" t="s">
        <v>4065</v>
      </c>
      <c r="G1027" t="s">
        <v>4066</v>
      </c>
      <c r="H1027">
        <v>0</v>
      </c>
      <c r="I1027">
        <v>250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 x14ac:dyDescent="0.3">
      <c r="A1028" t="s">
        <v>3683</v>
      </c>
      <c r="B1028" t="s">
        <v>4067</v>
      </c>
      <c r="C1028" t="s">
        <v>4068</v>
      </c>
      <c r="D1028" t="s">
        <v>3686</v>
      </c>
      <c r="E1028" t="s">
        <v>3687</v>
      </c>
      <c r="F1028" t="s">
        <v>4069</v>
      </c>
      <c r="G1028" t="s">
        <v>4070</v>
      </c>
      <c r="H1028">
        <v>0</v>
      </c>
      <c r="I1028">
        <v>787</v>
      </c>
      <c r="J1028">
        <v>553</v>
      </c>
      <c r="K1028">
        <v>0</v>
      </c>
      <c r="L1028">
        <v>0</v>
      </c>
      <c r="M1028">
        <v>787</v>
      </c>
      <c r="N1028">
        <v>0</v>
      </c>
      <c r="O1028">
        <v>0</v>
      </c>
    </row>
    <row r="1029" spans="1:15" x14ac:dyDescent="0.3">
      <c r="A1029" t="s">
        <v>3683</v>
      </c>
      <c r="B1029" t="s">
        <v>4071</v>
      </c>
      <c r="C1029" t="s">
        <v>4072</v>
      </c>
      <c r="D1029" t="s">
        <v>3686</v>
      </c>
      <c r="E1029" t="s">
        <v>3687</v>
      </c>
      <c r="F1029" t="s">
        <v>4073</v>
      </c>
      <c r="G1029" t="s">
        <v>4074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 spans="1:15" x14ac:dyDescent="0.3">
      <c r="A1030" t="s">
        <v>3683</v>
      </c>
      <c r="B1030" t="s">
        <v>4075</v>
      </c>
      <c r="C1030" t="s">
        <v>4076</v>
      </c>
      <c r="D1030" t="s">
        <v>3686</v>
      </c>
      <c r="E1030" t="s">
        <v>3687</v>
      </c>
      <c r="F1030" t="s">
        <v>4077</v>
      </c>
      <c r="G1030" t="s">
        <v>4078</v>
      </c>
      <c r="H1030">
        <v>0</v>
      </c>
      <c r="I1030">
        <v>250</v>
      </c>
      <c r="J1030">
        <v>0</v>
      </c>
      <c r="K1030">
        <v>0</v>
      </c>
      <c r="L1030">
        <v>0</v>
      </c>
      <c r="M1030">
        <v>250</v>
      </c>
      <c r="N1030">
        <v>0</v>
      </c>
      <c r="O1030">
        <v>0</v>
      </c>
    </row>
    <row r="1031" spans="1:15" x14ac:dyDescent="0.3">
      <c r="A1031" t="s">
        <v>3683</v>
      </c>
      <c r="B1031" t="s">
        <v>4079</v>
      </c>
      <c r="C1031" t="s">
        <v>4080</v>
      </c>
      <c r="D1031" t="s">
        <v>3686</v>
      </c>
      <c r="E1031" t="s">
        <v>3687</v>
      </c>
      <c r="F1031" t="s">
        <v>4081</v>
      </c>
      <c r="G1031" t="s">
        <v>4082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 x14ac:dyDescent="0.3">
      <c r="A1032" t="s">
        <v>3683</v>
      </c>
      <c r="B1032" t="s">
        <v>4083</v>
      </c>
      <c r="C1032" t="s">
        <v>4084</v>
      </c>
      <c r="D1032" t="s">
        <v>3686</v>
      </c>
      <c r="E1032" t="s">
        <v>3687</v>
      </c>
      <c r="F1032" t="s">
        <v>4085</v>
      </c>
      <c r="G1032" t="s">
        <v>4086</v>
      </c>
      <c r="H1032">
        <v>0</v>
      </c>
      <c r="I1032">
        <v>250</v>
      </c>
      <c r="J1032">
        <v>244</v>
      </c>
      <c r="K1032">
        <v>0</v>
      </c>
      <c r="L1032">
        <v>0</v>
      </c>
      <c r="M1032">
        <v>250</v>
      </c>
      <c r="N1032">
        <v>0</v>
      </c>
      <c r="O1032">
        <v>0</v>
      </c>
    </row>
    <row r="1033" spans="1:15" x14ac:dyDescent="0.3">
      <c r="A1033" t="s">
        <v>3683</v>
      </c>
      <c r="B1033" t="s">
        <v>4087</v>
      </c>
      <c r="C1033" t="s">
        <v>4088</v>
      </c>
      <c r="D1033" t="s">
        <v>3686</v>
      </c>
      <c r="E1033" t="s">
        <v>3687</v>
      </c>
      <c r="F1033" t="s">
        <v>4089</v>
      </c>
      <c r="G1033">
        <f>256773008522 / 256756531165</f>
        <v>1.000064175025754</v>
      </c>
      <c r="H1033">
        <v>0</v>
      </c>
      <c r="I1033">
        <v>250</v>
      </c>
      <c r="J1033">
        <v>0</v>
      </c>
      <c r="K1033">
        <v>0</v>
      </c>
      <c r="L1033">
        <v>0</v>
      </c>
      <c r="M1033">
        <v>250</v>
      </c>
      <c r="N1033">
        <v>0</v>
      </c>
      <c r="O1033">
        <v>0</v>
      </c>
    </row>
    <row r="1034" spans="1:15" x14ac:dyDescent="0.3">
      <c r="A1034" t="s">
        <v>3683</v>
      </c>
      <c r="B1034" t="s">
        <v>4090</v>
      </c>
      <c r="C1034" t="s">
        <v>4091</v>
      </c>
      <c r="D1034" t="s">
        <v>3686</v>
      </c>
      <c r="E1034" t="s">
        <v>3687</v>
      </c>
      <c r="F1034" t="s">
        <v>4092</v>
      </c>
      <c r="G1034" t="s">
        <v>4093</v>
      </c>
      <c r="H1034">
        <v>0</v>
      </c>
      <c r="I1034">
        <v>250</v>
      </c>
      <c r="J1034">
        <v>0</v>
      </c>
      <c r="K1034">
        <v>0</v>
      </c>
      <c r="L1034">
        <v>0</v>
      </c>
      <c r="M1034">
        <v>250</v>
      </c>
      <c r="N1034">
        <v>0</v>
      </c>
      <c r="O1034">
        <v>0</v>
      </c>
    </row>
    <row r="1035" spans="1:15" x14ac:dyDescent="0.3">
      <c r="A1035" t="s">
        <v>3683</v>
      </c>
      <c r="B1035" t="s">
        <v>4094</v>
      </c>
      <c r="C1035" t="s">
        <v>4095</v>
      </c>
      <c r="D1035" t="s">
        <v>3686</v>
      </c>
      <c r="E1035" t="s">
        <v>3687</v>
      </c>
      <c r="F1035" t="s">
        <v>4096</v>
      </c>
      <c r="G1035" t="s">
        <v>4097</v>
      </c>
      <c r="H1035">
        <v>0</v>
      </c>
      <c r="I1035">
        <v>250</v>
      </c>
      <c r="J1035">
        <v>118</v>
      </c>
      <c r="K1035">
        <v>0</v>
      </c>
      <c r="L1035">
        <v>0</v>
      </c>
      <c r="M1035">
        <v>250</v>
      </c>
      <c r="N1035">
        <v>0</v>
      </c>
      <c r="O1035">
        <v>0</v>
      </c>
    </row>
    <row r="1036" spans="1:15" x14ac:dyDescent="0.3">
      <c r="A1036" t="s">
        <v>3683</v>
      </c>
      <c r="B1036" t="s">
        <v>4098</v>
      </c>
      <c r="C1036" t="s">
        <v>4099</v>
      </c>
      <c r="D1036" t="s">
        <v>3686</v>
      </c>
      <c r="E1036" t="s">
        <v>3687</v>
      </c>
      <c r="F1036" t="s">
        <v>4100</v>
      </c>
      <c r="G1036" t="s">
        <v>4101</v>
      </c>
      <c r="H1036">
        <v>0</v>
      </c>
      <c r="I1036">
        <v>250</v>
      </c>
      <c r="J1036">
        <v>388</v>
      </c>
      <c r="K1036">
        <v>0</v>
      </c>
      <c r="L1036">
        <v>0</v>
      </c>
      <c r="M1036">
        <v>250</v>
      </c>
      <c r="N1036">
        <v>0</v>
      </c>
      <c r="O1036">
        <v>0</v>
      </c>
    </row>
    <row r="1037" spans="1:15" x14ac:dyDescent="0.3">
      <c r="A1037" t="s">
        <v>3683</v>
      </c>
      <c r="B1037" t="s">
        <v>4102</v>
      </c>
      <c r="C1037" t="s">
        <v>4103</v>
      </c>
      <c r="D1037" t="s">
        <v>3686</v>
      </c>
      <c r="E1037" t="s">
        <v>3687</v>
      </c>
      <c r="F1037" t="s">
        <v>4104</v>
      </c>
      <c r="G1037" t="s">
        <v>4105</v>
      </c>
      <c r="H1037">
        <v>0</v>
      </c>
      <c r="I1037">
        <v>250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 spans="1:15" x14ac:dyDescent="0.3">
      <c r="A1038" t="s">
        <v>3683</v>
      </c>
      <c r="B1038" t="s">
        <v>4106</v>
      </c>
      <c r="C1038" t="s">
        <v>4107</v>
      </c>
      <c r="D1038" t="s">
        <v>3686</v>
      </c>
      <c r="E1038" t="s">
        <v>3687</v>
      </c>
      <c r="F1038" t="s">
        <v>4108</v>
      </c>
      <c r="G1038" t="s">
        <v>4109</v>
      </c>
      <c r="H1038">
        <v>4780</v>
      </c>
      <c r="I1038">
        <v>7097</v>
      </c>
      <c r="J1038">
        <v>6935</v>
      </c>
      <c r="K1038">
        <v>0</v>
      </c>
      <c r="L1038">
        <v>0</v>
      </c>
      <c r="M1038">
        <v>830</v>
      </c>
      <c r="N1038">
        <v>0</v>
      </c>
      <c r="O1038">
        <v>0</v>
      </c>
    </row>
    <row r="1039" spans="1:15" x14ac:dyDescent="0.3">
      <c r="A1039" t="s">
        <v>3683</v>
      </c>
      <c r="B1039" t="s">
        <v>4110</v>
      </c>
      <c r="C1039" t="s">
        <v>4111</v>
      </c>
      <c r="D1039" t="s">
        <v>3686</v>
      </c>
      <c r="E1039" t="s">
        <v>3687</v>
      </c>
      <c r="F1039" t="s">
        <v>4112</v>
      </c>
      <c r="G1039" t="s">
        <v>4113</v>
      </c>
      <c r="H1039">
        <v>0</v>
      </c>
      <c r="I1039">
        <v>250</v>
      </c>
      <c r="J1039">
        <v>0</v>
      </c>
      <c r="K1039">
        <v>0</v>
      </c>
      <c r="L1039">
        <v>0</v>
      </c>
      <c r="M1039">
        <v>250</v>
      </c>
      <c r="N1039">
        <v>0</v>
      </c>
      <c r="O1039">
        <v>0</v>
      </c>
    </row>
    <row r="1040" spans="1:15" x14ac:dyDescent="0.3">
      <c r="A1040" t="s">
        <v>3683</v>
      </c>
      <c r="B1040" t="s">
        <v>4114</v>
      </c>
      <c r="C1040" t="s">
        <v>4115</v>
      </c>
      <c r="D1040" t="s">
        <v>3686</v>
      </c>
      <c r="E1040" t="s">
        <v>3687</v>
      </c>
      <c r="F1040" t="s">
        <v>4116</v>
      </c>
      <c r="G1040" t="s">
        <v>4117</v>
      </c>
      <c r="H1040">
        <v>0</v>
      </c>
      <c r="I1040">
        <v>427</v>
      </c>
      <c r="J1040">
        <v>5015</v>
      </c>
      <c r="K1040">
        <v>0</v>
      </c>
      <c r="L1040">
        <v>0</v>
      </c>
      <c r="M1040">
        <v>427</v>
      </c>
      <c r="N1040">
        <v>0</v>
      </c>
      <c r="O1040">
        <v>0</v>
      </c>
    </row>
    <row r="1041" spans="1:15" x14ac:dyDescent="0.3">
      <c r="A1041" t="s">
        <v>3683</v>
      </c>
      <c r="B1041" t="s">
        <v>4118</v>
      </c>
      <c r="C1041" t="s">
        <v>4119</v>
      </c>
      <c r="D1041" t="s">
        <v>3686</v>
      </c>
      <c r="E1041" t="s">
        <v>3687</v>
      </c>
      <c r="F1041" t="s">
        <v>4120</v>
      </c>
      <c r="G1041" t="s">
        <v>4121</v>
      </c>
      <c r="H1041">
        <v>11200</v>
      </c>
      <c r="I1041">
        <v>2013</v>
      </c>
      <c r="J1041">
        <v>14025</v>
      </c>
      <c r="K1041">
        <v>0</v>
      </c>
      <c r="L1041">
        <v>1200</v>
      </c>
      <c r="M1041">
        <v>1446</v>
      </c>
      <c r="N1041">
        <v>0</v>
      </c>
      <c r="O1041">
        <v>0</v>
      </c>
    </row>
    <row r="1042" spans="1:15" x14ac:dyDescent="0.3">
      <c r="A1042" t="s">
        <v>3683</v>
      </c>
      <c r="B1042" t="s">
        <v>4122</v>
      </c>
      <c r="C1042" t="s">
        <v>4123</v>
      </c>
      <c r="D1042" t="s">
        <v>3686</v>
      </c>
      <c r="E1042" t="s">
        <v>3687</v>
      </c>
      <c r="F1042" t="s">
        <v>4124</v>
      </c>
      <c r="G1042" t="s">
        <v>4125</v>
      </c>
      <c r="H1042">
        <v>232</v>
      </c>
      <c r="I1042">
        <v>259</v>
      </c>
      <c r="J1042">
        <v>107855</v>
      </c>
      <c r="K1042">
        <v>8</v>
      </c>
      <c r="L1042">
        <v>850</v>
      </c>
      <c r="M1042">
        <v>59</v>
      </c>
      <c r="N1042">
        <v>0</v>
      </c>
      <c r="O1042">
        <v>0</v>
      </c>
    </row>
    <row r="1043" spans="1:15" x14ac:dyDescent="0.3">
      <c r="A1043" t="s">
        <v>3683</v>
      </c>
      <c r="B1043" t="s">
        <v>4126</v>
      </c>
      <c r="C1043" t="s">
        <v>3152</v>
      </c>
      <c r="D1043" t="s">
        <v>3686</v>
      </c>
      <c r="E1043" t="s">
        <v>3687</v>
      </c>
      <c r="F1043" t="s">
        <v>4127</v>
      </c>
      <c r="G1043" t="s">
        <v>4128</v>
      </c>
      <c r="H1043">
        <v>0</v>
      </c>
      <c r="I1043">
        <v>250</v>
      </c>
      <c r="J1043">
        <v>12903</v>
      </c>
      <c r="K1043">
        <v>480</v>
      </c>
      <c r="L1043">
        <v>0</v>
      </c>
      <c r="M1043">
        <v>250</v>
      </c>
      <c r="N1043">
        <v>0</v>
      </c>
      <c r="O1043">
        <v>0</v>
      </c>
    </row>
    <row r="1044" spans="1:15" x14ac:dyDescent="0.3">
      <c r="A1044" t="s">
        <v>3683</v>
      </c>
      <c r="B1044" t="s">
        <v>4129</v>
      </c>
      <c r="C1044" t="s">
        <v>4130</v>
      </c>
      <c r="D1044" t="s">
        <v>3686</v>
      </c>
      <c r="E1044" t="s">
        <v>3687</v>
      </c>
      <c r="F1044" t="s">
        <v>4131</v>
      </c>
      <c r="G1044" t="s">
        <v>4132</v>
      </c>
      <c r="H1044">
        <v>0</v>
      </c>
      <c r="I1044">
        <v>925</v>
      </c>
      <c r="J1044">
        <v>11270</v>
      </c>
      <c r="K1044">
        <v>0</v>
      </c>
      <c r="L1044">
        <v>0</v>
      </c>
      <c r="M1044">
        <v>600</v>
      </c>
      <c r="N1044">
        <v>0</v>
      </c>
      <c r="O1044">
        <v>0</v>
      </c>
    </row>
    <row r="1045" spans="1:15" x14ac:dyDescent="0.3">
      <c r="A1045" t="s">
        <v>3683</v>
      </c>
      <c r="B1045" t="s">
        <v>4133</v>
      </c>
      <c r="C1045" t="s">
        <v>4134</v>
      </c>
      <c r="D1045" t="s">
        <v>3686</v>
      </c>
      <c r="E1045" t="s">
        <v>3687</v>
      </c>
      <c r="F1045" t="s">
        <v>4135</v>
      </c>
      <c r="G1045" t="s">
        <v>4136</v>
      </c>
      <c r="H1045">
        <v>9898</v>
      </c>
      <c r="I1045">
        <v>7288</v>
      </c>
      <c r="J1045">
        <v>66265</v>
      </c>
      <c r="K1045">
        <v>0</v>
      </c>
      <c r="L1045">
        <v>700</v>
      </c>
      <c r="M1045">
        <v>884</v>
      </c>
      <c r="N1045">
        <v>0</v>
      </c>
      <c r="O1045">
        <v>0</v>
      </c>
    </row>
    <row r="1046" spans="1:15" x14ac:dyDescent="0.3">
      <c r="A1046" t="s">
        <v>3683</v>
      </c>
      <c r="B1046" t="s">
        <v>4137</v>
      </c>
      <c r="C1046" t="s">
        <v>4138</v>
      </c>
      <c r="D1046" t="s">
        <v>3686</v>
      </c>
      <c r="E1046" t="s">
        <v>3687</v>
      </c>
      <c r="F1046" t="s">
        <v>4139</v>
      </c>
      <c r="G1046" t="s">
        <v>4140</v>
      </c>
      <c r="H1046">
        <v>0</v>
      </c>
      <c r="I1046">
        <v>250</v>
      </c>
      <c r="J1046">
        <v>2211</v>
      </c>
      <c r="K1046">
        <v>0</v>
      </c>
      <c r="L1046">
        <v>0</v>
      </c>
      <c r="M1046">
        <v>250</v>
      </c>
      <c r="N1046">
        <v>0</v>
      </c>
      <c r="O1046">
        <v>0</v>
      </c>
    </row>
    <row r="1047" spans="1:15" x14ac:dyDescent="0.3">
      <c r="A1047" t="s">
        <v>3683</v>
      </c>
      <c r="B1047" t="s">
        <v>4141</v>
      </c>
      <c r="C1047" t="s">
        <v>4142</v>
      </c>
      <c r="D1047" t="s">
        <v>3686</v>
      </c>
      <c r="E1047" t="s">
        <v>3687</v>
      </c>
      <c r="F1047" t="s">
        <v>4143</v>
      </c>
      <c r="G1047" t="s">
        <v>4144</v>
      </c>
      <c r="H1047">
        <v>0</v>
      </c>
      <c r="I1047">
        <v>905</v>
      </c>
      <c r="J1047">
        <v>5228</v>
      </c>
      <c r="K1047">
        <v>884</v>
      </c>
      <c r="L1047">
        <v>1800</v>
      </c>
      <c r="M1047">
        <v>143</v>
      </c>
      <c r="N1047">
        <v>0</v>
      </c>
      <c r="O1047">
        <v>0</v>
      </c>
    </row>
    <row r="1048" spans="1:15" x14ac:dyDescent="0.3">
      <c r="A1048" t="s">
        <v>3683</v>
      </c>
      <c r="B1048" t="s">
        <v>4145</v>
      </c>
      <c r="C1048" t="s">
        <v>4146</v>
      </c>
      <c r="D1048" t="s">
        <v>3686</v>
      </c>
      <c r="E1048" t="s">
        <v>3687</v>
      </c>
      <c r="F1048" t="s">
        <v>4147</v>
      </c>
      <c r="G1048" t="s">
        <v>4148</v>
      </c>
      <c r="H1048">
        <v>2149</v>
      </c>
      <c r="I1048">
        <v>250</v>
      </c>
      <c r="J1048">
        <v>4667</v>
      </c>
      <c r="K1048">
        <v>0</v>
      </c>
      <c r="L1048">
        <v>0</v>
      </c>
      <c r="M1048">
        <v>250</v>
      </c>
      <c r="N1048">
        <v>0</v>
      </c>
      <c r="O1048">
        <v>0</v>
      </c>
    </row>
    <row r="1049" spans="1:15" x14ac:dyDescent="0.3">
      <c r="A1049" t="s">
        <v>3683</v>
      </c>
      <c r="B1049" t="s">
        <v>4149</v>
      </c>
      <c r="C1049" t="s">
        <v>4150</v>
      </c>
      <c r="D1049" t="s">
        <v>3686</v>
      </c>
      <c r="E1049" t="s">
        <v>3687</v>
      </c>
      <c r="F1049" t="s">
        <v>4151</v>
      </c>
      <c r="G1049">
        <f>256782787577 / 256392001228</f>
        <v>1.0015241752750801</v>
      </c>
      <c r="H1049">
        <v>0</v>
      </c>
      <c r="I1049">
        <v>250</v>
      </c>
      <c r="J1049">
        <v>1014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 x14ac:dyDescent="0.3">
      <c r="A1050" t="s">
        <v>3683</v>
      </c>
      <c r="B1050" t="s">
        <v>4152</v>
      </c>
      <c r="C1050" t="s">
        <v>4153</v>
      </c>
      <c r="D1050" t="s">
        <v>3686</v>
      </c>
      <c r="E1050" t="s">
        <v>3687</v>
      </c>
      <c r="F1050" t="s">
        <v>4154</v>
      </c>
      <c r="G1050" t="s">
        <v>4155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 x14ac:dyDescent="0.3">
      <c r="A1051" t="s">
        <v>3683</v>
      </c>
      <c r="B1051" t="s">
        <v>4156</v>
      </c>
      <c r="C1051" t="s">
        <v>4157</v>
      </c>
      <c r="D1051" t="s">
        <v>3686</v>
      </c>
      <c r="E1051" t="s">
        <v>3687</v>
      </c>
      <c r="F1051" t="s">
        <v>4158</v>
      </c>
      <c r="G1051" t="s">
        <v>4159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1:15" x14ac:dyDescent="0.3">
      <c r="A1052" t="s">
        <v>3683</v>
      </c>
      <c r="B1052" t="s">
        <v>4160</v>
      </c>
      <c r="C1052" t="s">
        <v>4161</v>
      </c>
      <c r="D1052" t="s">
        <v>3686</v>
      </c>
      <c r="E1052" t="s">
        <v>3687</v>
      </c>
      <c r="F1052" t="s">
        <v>4162</v>
      </c>
      <c r="G1052" t="s">
        <v>4163</v>
      </c>
      <c r="H1052">
        <v>0</v>
      </c>
      <c r="I1052">
        <v>250</v>
      </c>
      <c r="J1052">
        <v>0</v>
      </c>
      <c r="K1052">
        <v>0</v>
      </c>
      <c r="L1052">
        <v>0</v>
      </c>
      <c r="M1052">
        <v>250</v>
      </c>
      <c r="N1052">
        <v>0</v>
      </c>
      <c r="O1052">
        <v>0</v>
      </c>
    </row>
    <row r="1053" spans="1:15" x14ac:dyDescent="0.3">
      <c r="A1053" t="s">
        <v>3683</v>
      </c>
      <c r="B1053" t="s">
        <v>4164</v>
      </c>
      <c r="C1053" t="s">
        <v>4165</v>
      </c>
      <c r="D1053" t="s">
        <v>3686</v>
      </c>
      <c r="E1053" t="s">
        <v>3687</v>
      </c>
      <c r="F1053" t="s">
        <v>4166</v>
      </c>
      <c r="G1053" t="s">
        <v>4167</v>
      </c>
      <c r="H1053">
        <v>0</v>
      </c>
      <c r="I1053">
        <v>567</v>
      </c>
      <c r="J1053">
        <v>1558</v>
      </c>
      <c r="K1053">
        <v>1366</v>
      </c>
      <c r="L1053">
        <v>0</v>
      </c>
      <c r="M1053">
        <v>567</v>
      </c>
      <c r="N1053">
        <v>0</v>
      </c>
      <c r="O1053">
        <v>0</v>
      </c>
    </row>
    <row r="1054" spans="1:15" x14ac:dyDescent="0.3">
      <c r="A1054" t="s">
        <v>3683</v>
      </c>
      <c r="B1054" t="s">
        <v>4168</v>
      </c>
      <c r="C1054" t="s">
        <v>4169</v>
      </c>
      <c r="D1054" t="s">
        <v>3686</v>
      </c>
      <c r="E1054" t="s">
        <v>3687</v>
      </c>
      <c r="F1054" t="s">
        <v>4170</v>
      </c>
      <c r="G1054" t="s">
        <v>4171</v>
      </c>
      <c r="H1054">
        <v>0</v>
      </c>
      <c r="I1054">
        <v>250</v>
      </c>
      <c r="J1054">
        <v>3825</v>
      </c>
      <c r="K1054">
        <v>192</v>
      </c>
      <c r="L1054">
        <v>0</v>
      </c>
      <c r="M1054">
        <v>250</v>
      </c>
      <c r="N1054">
        <v>0</v>
      </c>
      <c r="O1054">
        <v>0</v>
      </c>
    </row>
    <row r="1055" spans="1:15" x14ac:dyDescent="0.3">
      <c r="A1055" t="s">
        <v>3683</v>
      </c>
      <c r="B1055" t="s">
        <v>4172</v>
      </c>
      <c r="C1055" t="s">
        <v>4173</v>
      </c>
      <c r="D1055" t="s">
        <v>3686</v>
      </c>
      <c r="E1055" t="s">
        <v>3687</v>
      </c>
      <c r="F1055" t="s">
        <v>4174</v>
      </c>
      <c r="G1055" t="s">
        <v>4175</v>
      </c>
      <c r="H1055">
        <v>0</v>
      </c>
      <c r="I1055">
        <v>250</v>
      </c>
      <c r="J1055">
        <v>0</v>
      </c>
      <c r="K1055">
        <v>0</v>
      </c>
      <c r="L1055">
        <v>0</v>
      </c>
      <c r="M1055">
        <v>250</v>
      </c>
      <c r="N1055">
        <v>0</v>
      </c>
      <c r="O1055">
        <v>0</v>
      </c>
    </row>
    <row r="1056" spans="1:15" x14ac:dyDescent="0.3">
      <c r="A1056" t="s">
        <v>3683</v>
      </c>
      <c r="B1056" t="s">
        <v>4176</v>
      </c>
      <c r="C1056" t="s">
        <v>4177</v>
      </c>
      <c r="D1056" t="s">
        <v>3686</v>
      </c>
      <c r="E1056" t="s">
        <v>3687</v>
      </c>
      <c r="F1056" t="s">
        <v>4178</v>
      </c>
      <c r="G1056" t="s">
        <v>4179</v>
      </c>
      <c r="H1056">
        <v>0</v>
      </c>
      <c r="I1056">
        <v>250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 x14ac:dyDescent="0.3">
      <c r="A1057" t="s">
        <v>3683</v>
      </c>
      <c r="B1057" t="s">
        <v>4180</v>
      </c>
      <c r="C1057" t="s">
        <v>4181</v>
      </c>
      <c r="D1057" t="s">
        <v>3686</v>
      </c>
      <c r="E1057" t="s">
        <v>3687</v>
      </c>
      <c r="F1057" t="s">
        <v>4182</v>
      </c>
      <c r="G1057" t="s">
        <v>4183</v>
      </c>
      <c r="H1057">
        <v>1892</v>
      </c>
      <c r="I1057">
        <v>250</v>
      </c>
      <c r="J1057">
        <v>7369</v>
      </c>
      <c r="K1057">
        <v>0</v>
      </c>
      <c r="L1057">
        <v>0</v>
      </c>
      <c r="M1057">
        <v>250</v>
      </c>
      <c r="N1057">
        <v>0</v>
      </c>
      <c r="O1057">
        <v>0</v>
      </c>
    </row>
    <row r="1058" spans="1:15" x14ac:dyDescent="0.3">
      <c r="A1058" t="s">
        <v>3683</v>
      </c>
      <c r="B1058" t="s">
        <v>4184</v>
      </c>
      <c r="C1058" t="s">
        <v>4185</v>
      </c>
      <c r="D1058" t="s">
        <v>3686</v>
      </c>
      <c r="E1058" t="s">
        <v>3687</v>
      </c>
      <c r="F1058" t="s">
        <v>4186</v>
      </c>
      <c r="G1058" t="s">
        <v>4187</v>
      </c>
      <c r="H1058">
        <v>0</v>
      </c>
      <c r="I1058">
        <v>250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 x14ac:dyDescent="0.3">
      <c r="A1059" t="s">
        <v>3683</v>
      </c>
      <c r="B1059" t="s">
        <v>4188</v>
      </c>
      <c r="C1059" t="s">
        <v>4189</v>
      </c>
      <c r="D1059" t="s">
        <v>3686</v>
      </c>
      <c r="E1059" t="s">
        <v>3687</v>
      </c>
      <c r="F1059" t="s">
        <v>4190</v>
      </c>
      <c r="G1059" t="s">
        <v>4191</v>
      </c>
      <c r="H1059">
        <v>0</v>
      </c>
      <c r="I1059">
        <v>250</v>
      </c>
      <c r="J1059">
        <v>0</v>
      </c>
      <c r="K1059">
        <v>0</v>
      </c>
      <c r="L1059">
        <v>0</v>
      </c>
      <c r="M1059">
        <v>250</v>
      </c>
      <c r="N1059">
        <v>0</v>
      </c>
      <c r="O1059">
        <v>0</v>
      </c>
    </row>
    <row r="1060" spans="1:15" x14ac:dyDescent="0.3">
      <c r="A1060" t="s">
        <v>3683</v>
      </c>
      <c r="B1060" t="s">
        <v>4192</v>
      </c>
      <c r="C1060" t="s">
        <v>4193</v>
      </c>
      <c r="D1060" t="s">
        <v>3686</v>
      </c>
      <c r="E1060" t="s">
        <v>3687</v>
      </c>
      <c r="F1060" t="s">
        <v>4194</v>
      </c>
      <c r="G1060" t="s">
        <v>4195</v>
      </c>
      <c r="H1060">
        <v>0</v>
      </c>
      <c r="I1060">
        <v>250</v>
      </c>
      <c r="J1060">
        <v>0</v>
      </c>
      <c r="K1060">
        <v>0</v>
      </c>
      <c r="L1060">
        <v>0</v>
      </c>
      <c r="M1060">
        <v>250</v>
      </c>
      <c r="N1060">
        <v>0</v>
      </c>
      <c r="O1060">
        <v>0</v>
      </c>
    </row>
    <row r="1061" spans="1:15" x14ac:dyDescent="0.3">
      <c r="A1061" t="s">
        <v>3683</v>
      </c>
      <c r="B1061" t="s">
        <v>4196</v>
      </c>
      <c r="C1061" t="s">
        <v>4197</v>
      </c>
      <c r="D1061" t="s">
        <v>3686</v>
      </c>
      <c r="E1061" t="s">
        <v>3687</v>
      </c>
      <c r="F1061" t="s">
        <v>4198</v>
      </c>
      <c r="G1061" t="s">
        <v>4199</v>
      </c>
      <c r="H1061">
        <v>446</v>
      </c>
      <c r="I1061">
        <v>1114</v>
      </c>
      <c r="J1061">
        <v>2646</v>
      </c>
      <c r="K1061">
        <v>0</v>
      </c>
      <c r="L1061">
        <v>0</v>
      </c>
      <c r="M1061">
        <v>774</v>
      </c>
      <c r="N1061">
        <v>0</v>
      </c>
      <c r="O1061">
        <v>0</v>
      </c>
    </row>
    <row r="1062" spans="1:15" x14ac:dyDescent="0.3">
      <c r="A1062" t="s">
        <v>3683</v>
      </c>
      <c r="B1062" t="s">
        <v>4200</v>
      </c>
      <c r="C1062" t="s">
        <v>4201</v>
      </c>
      <c r="D1062" t="s">
        <v>3686</v>
      </c>
      <c r="E1062" t="s">
        <v>3687</v>
      </c>
      <c r="F1062" t="s">
        <v>4202</v>
      </c>
      <c r="G1062">
        <f>256704008898 / 256392174887</f>
        <v>1.001216238409528</v>
      </c>
      <c r="H1062">
        <v>4625</v>
      </c>
      <c r="I1062">
        <v>545</v>
      </c>
      <c r="J1062">
        <v>7465</v>
      </c>
      <c r="K1062">
        <v>0</v>
      </c>
      <c r="L1062">
        <v>0</v>
      </c>
      <c r="M1062">
        <v>365</v>
      </c>
      <c r="N1062">
        <v>115</v>
      </c>
      <c r="O1062">
        <v>0</v>
      </c>
    </row>
    <row r="1063" spans="1:15" x14ac:dyDescent="0.3">
      <c r="A1063" t="s">
        <v>3683</v>
      </c>
      <c r="B1063" t="s">
        <v>4203</v>
      </c>
      <c r="C1063" t="s">
        <v>4204</v>
      </c>
      <c r="D1063" t="s">
        <v>3686</v>
      </c>
      <c r="E1063" t="s">
        <v>3687</v>
      </c>
      <c r="F1063" t="s">
        <v>4205</v>
      </c>
      <c r="G1063" t="s">
        <v>4206</v>
      </c>
      <c r="H1063">
        <v>0</v>
      </c>
      <c r="I1063">
        <v>250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 x14ac:dyDescent="0.3">
      <c r="A1064" t="s">
        <v>3683</v>
      </c>
      <c r="B1064" t="s">
        <v>4207</v>
      </c>
      <c r="C1064" t="s">
        <v>4208</v>
      </c>
      <c r="D1064" t="s">
        <v>3686</v>
      </c>
      <c r="E1064" t="s">
        <v>3687</v>
      </c>
      <c r="F1064" t="s">
        <v>4209</v>
      </c>
      <c r="G1064" t="s">
        <v>4210</v>
      </c>
      <c r="H1064">
        <v>0</v>
      </c>
      <c r="I1064">
        <v>250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 x14ac:dyDescent="0.3">
      <c r="A1065" t="s">
        <v>3683</v>
      </c>
      <c r="B1065" t="s">
        <v>4211</v>
      </c>
      <c r="C1065" t="s">
        <v>4212</v>
      </c>
      <c r="D1065" t="s">
        <v>3686</v>
      </c>
      <c r="E1065" t="s">
        <v>3687</v>
      </c>
      <c r="F1065" t="s">
        <v>4213</v>
      </c>
      <c r="G1065" t="s">
        <v>4214</v>
      </c>
      <c r="H1065">
        <v>249</v>
      </c>
      <c r="I1065">
        <v>3167</v>
      </c>
      <c r="J1065">
        <v>6213</v>
      </c>
      <c r="K1065">
        <v>0</v>
      </c>
      <c r="L1065">
        <v>2500</v>
      </c>
      <c r="M1065">
        <v>220</v>
      </c>
      <c r="N1065">
        <v>0</v>
      </c>
      <c r="O1065">
        <v>0</v>
      </c>
    </row>
    <row r="1066" spans="1:15" x14ac:dyDescent="0.3">
      <c r="A1066" t="s">
        <v>3683</v>
      </c>
      <c r="B1066" t="s">
        <v>4215</v>
      </c>
      <c r="C1066" t="s">
        <v>4216</v>
      </c>
      <c r="D1066" t="s">
        <v>3686</v>
      </c>
      <c r="E1066" t="s">
        <v>3687</v>
      </c>
      <c r="F1066" t="s">
        <v>4217</v>
      </c>
      <c r="G1066" t="s">
        <v>4218</v>
      </c>
      <c r="H1066">
        <v>0</v>
      </c>
      <c r="I1066">
        <v>2508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5" x14ac:dyDescent="0.3">
      <c r="A1067" t="s">
        <v>3683</v>
      </c>
      <c r="B1067" t="s">
        <v>4219</v>
      </c>
      <c r="C1067" t="s">
        <v>4220</v>
      </c>
      <c r="D1067" t="s">
        <v>3686</v>
      </c>
      <c r="E1067" t="s">
        <v>3687</v>
      </c>
      <c r="F1067" t="s">
        <v>4221</v>
      </c>
      <c r="G1067" t="s">
        <v>4222</v>
      </c>
      <c r="H1067">
        <v>646</v>
      </c>
      <c r="I1067">
        <v>1528</v>
      </c>
      <c r="J1067">
        <v>26304</v>
      </c>
      <c r="K1067">
        <v>0</v>
      </c>
      <c r="L1067">
        <v>0</v>
      </c>
      <c r="M1067">
        <v>250</v>
      </c>
      <c r="N1067">
        <v>0</v>
      </c>
      <c r="O1067">
        <v>0</v>
      </c>
    </row>
    <row r="1068" spans="1:15" x14ac:dyDescent="0.3">
      <c r="A1068" t="s">
        <v>3683</v>
      </c>
      <c r="B1068" t="s">
        <v>4223</v>
      </c>
      <c r="C1068" t="s">
        <v>4224</v>
      </c>
      <c r="D1068" t="s">
        <v>3686</v>
      </c>
      <c r="E1068" t="s">
        <v>3687</v>
      </c>
      <c r="F1068" t="s">
        <v>4225</v>
      </c>
      <c r="G1068" t="s">
        <v>4226</v>
      </c>
      <c r="H1068">
        <v>6108</v>
      </c>
      <c r="I1068">
        <v>3154</v>
      </c>
      <c r="J1068">
        <v>67423</v>
      </c>
      <c r="K1068">
        <v>0</v>
      </c>
      <c r="L1068">
        <v>2700</v>
      </c>
      <c r="M1068">
        <v>66</v>
      </c>
      <c r="N1068">
        <v>0</v>
      </c>
      <c r="O1068">
        <v>0</v>
      </c>
    </row>
    <row r="1069" spans="1:15" x14ac:dyDescent="0.3">
      <c r="A1069" t="s">
        <v>3683</v>
      </c>
      <c r="B1069" t="s">
        <v>4227</v>
      </c>
      <c r="C1069" t="s">
        <v>4228</v>
      </c>
      <c r="D1069" t="s">
        <v>3686</v>
      </c>
      <c r="E1069" t="s">
        <v>3687</v>
      </c>
      <c r="F1069" t="s">
        <v>4229</v>
      </c>
      <c r="G1069" t="s">
        <v>4230</v>
      </c>
      <c r="H1069">
        <v>554</v>
      </c>
      <c r="I1069">
        <v>2398</v>
      </c>
      <c r="J1069">
        <v>12093</v>
      </c>
      <c r="K1069">
        <v>188</v>
      </c>
      <c r="L1069">
        <v>1200</v>
      </c>
      <c r="M1069">
        <v>113</v>
      </c>
      <c r="N1069">
        <v>0</v>
      </c>
      <c r="O1069">
        <v>0</v>
      </c>
    </row>
    <row r="1070" spans="1:15" x14ac:dyDescent="0.3">
      <c r="A1070" t="s">
        <v>3683</v>
      </c>
      <c r="B1070" t="s">
        <v>4231</v>
      </c>
      <c r="C1070" t="s">
        <v>4232</v>
      </c>
      <c r="D1070" t="s">
        <v>3686</v>
      </c>
      <c r="E1070" t="s">
        <v>3687</v>
      </c>
      <c r="F1070" t="s">
        <v>4233</v>
      </c>
      <c r="G1070" t="s">
        <v>4234</v>
      </c>
      <c r="H1070">
        <v>8827</v>
      </c>
      <c r="I1070">
        <v>8351</v>
      </c>
      <c r="J1070">
        <v>258534</v>
      </c>
      <c r="K1070">
        <v>13387</v>
      </c>
      <c r="L1070">
        <v>0</v>
      </c>
      <c r="M1070">
        <v>5415</v>
      </c>
      <c r="N1070">
        <v>0</v>
      </c>
      <c r="O1070">
        <v>0</v>
      </c>
    </row>
    <row r="1071" spans="1:15" x14ac:dyDescent="0.3">
      <c r="A1071" t="s">
        <v>3683</v>
      </c>
      <c r="B1071" t="s">
        <v>4235</v>
      </c>
      <c r="C1071" t="s">
        <v>4236</v>
      </c>
      <c r="D1071" t="s">
        <v>3686</v>
      </c>
      <c r="E1071" t="s">
        <v>3687</v>
      </c>
      <c r="F1071" t="s">
        <v>4237</v>
      </c>
      <c r="G1071" t="s">
        <v>4238</v>
      </c>
      <c r="H1071">
        <v>0</v>
      </c>
      <c r="I1071">
        <v>250</v>
      </c>
      <c r="J1071">
        <v>0</v>
      </c>
      <c r="K1071">
        <v>0</v>
      </c>
      <c r="L1071">
        <v>0</v>
      </c>
      <c r="M1071">
        <v>250</v>
      </c>
      <c r="N1071">
        <v>0</v>
      </c>
      <c r="O1071">
        <v>0</v>
      </c>
    </row>
    <row r="1072" spans="1:15" x14ac:dyDescent="0.3">
      <c r="A1072" t="s">
        <v>3683</v>
      </c>
      <c r="B1072" t="s">
        <v>4239</v>
      </c>
      <c r="C1072" t="s">
        <v>4240</v>
      </c>
      <c r="D1072" t="s">
        <v>3686</v>
      </c>
      <c r="E1072" t="s">
        <v>3687</v>
      </c>
      <c r="F1072" t="s">
        <v>4241</v>
      </c>
      <c r="G1072" t="s">
        <v>4242</v>
      </c>
      <c r="H1072">
        <v>0</v>
      </c>
      <c r="I1072">
        <v>528</v>
      </c>
      <c r="J1072">
        <v>15398</v>
      </c>
      <c r="K1072">
        <v>0</v>
      </c>
      <c r="L1072">
        <v>0</v>
      </c>
      <c r="M1072">
        <v>528</v>
      </c>
      <c r="N1072">
        <v>0</v>
      </c>
      <c r="O1072">
        <v>0</v>
      </c>
    </row>
    <row r="1073" spans="1:15" x14ac:dyDescent="0.3">
      <c r="A1073" t="s">
        <v>3683</v>
      </c>
      <c r="B1073" t="s">
        <v>4243</v>
      </c>
      <c r="C1073" t="s">
        <v>4244</v>
      </c>
      <c r="D1073" t="s">
        <v>3686</v>
      </c>
      <c r="E1073" t="s">
        <v>3687</v>
      </c>
      <c r="F1073" t="s">
        <v>4245</v>
      </c>
      <c r="G1073" t="s">
        <v>4246</v>
      </c>
      <c r="H1073">
        <v>0</v>
      </c>
      <c r="I1073">
        <v>250</v>
      </c>
      <c r="J1073">
        <v>273</v>
      </c>
      <c r="K1073">
        <v>0</v>
      </c>
      <c r="L1073">
        <v>0</v>
      </c>
      <c r="M1073">
        <v>250</v>
      </c>
      <c r="N1073">
        <v>0</v>
      </c>
      <c r="O1073">
        <v>0</v>
      </c>
    </row>
    <row r="1074" spans="1:15" x14ac:dyDescent="0.3">
      <c r="A1074" t="s">
        <v>3683</v>
      </c>
      <c r="B1074" t="s">
        <v>4247</v>
      </c>
      <c r="C1074" t="s">
        <v>4248</v>
      </c>
      <c r="D1074" t="s">
        <v>3686</v>
      </c>
      <c r="E1074" t="s">
        <v>3687</v>
      </c>
      <c r="F1074" t="s">
        <v>4249</v>
      </c>
      <c r="G1074" t="s">
        <v>4250</v>
      </c>
      <c r="H1074">
        <v>0</v>
      </c>
      <c r="I1074">
        <v>250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 x14ac:dyDescent="0.3">
      <c r="A1075" t="s">
        <v>3683</v>
      </c>
      <c r="B1075" t="s">
        <v>4251</v>
      </c>
      <c r="C1075" t="s">
        <v>4252</v>
      </c>
      <c r="D1075" t="s">
        <v>3686</v>
      </c>
      <c r="E1075" t="s">
        <v>3687</v>
      </c>
      <c r="F1075" t="s">
        <v>4253</v>
      </c>
      <c r="G1075" t="s">
        <v>4254</v>
      </c>
      <c r="H1075">
        <v>0</v>
      </c>
      <c r="I1075">
        <v>250</v>
      </c>
      <c r="J1075">
        <v>1073</v>
      </c>
      <c r="K1075">
        <v>0</v>
      </c>
      <c r="L1075">
        <v>0</v>
      </c>
      <c r="M1075">
        <v>250</v>
      </c>
      <c r="N1075">
        <v>0</v>
      </c>
      <c r="O1075">
        <v>0</v>
      </c>
    </row>
    <row r="1076" spans="1:15" x14ac:dyDescent="0.3">
      <c r="A1076" t="s">
        <v>3683</v>
      </c>
      <c r="B1076" t="s">
        <v>4255</v>
      </c>
      <c r="C1076" t="s">
        <v>4256</v>
      </c>
      <c r="D1076" t="s">
        <v>3686</v>
      </c>
      <c r="E1076" t="s">
        <v>3687</v>
      </c>
      <c r="F1076" t="s">
        <v>4257</v>
      </c>
      <c r="G1076" t="s">
        <v>4258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 x14ac:dyDescent="0.3">
      <c r="A1077" t="s">
        <v>3683</v>
      </c>
      <c r="B1077" t="s">
        <v>4259</v>
      </c>
      <c r="C1077" t="s">
        <v>4260</v>
      </c>
      <c r="D1077" t="s">
        <v>3686</v>
      </c>
      <c r="E1077" t="s">
        <v>3687</v>
      </c>
      <c r="F1077" t="s">
        <v>4261</v>
      </c>
      <c r="G1077" t="s">
        <v>4262</v>
      </c>
      <c r="H1077">
        <v>2031</v>
      </c>
      <c r="I1077">
        <v>1258</v>
      </c>
      <c r="J1077">
        <v>4513</v>
      </c>
      <c r="K1077">
        <v>0</v>
      </c>
      <c r="L1077">
        <v>0</v>
      </c>
      <c r="M1077">
        <v>250</v>
      </c>
      <c r="N1077">
        <v>0</v>
      </c>
      <c r="O1077">
        <v>0</v>
      </c>
    </row>
    <row r="1078" spans="1:15" x14ac:dyDescent="0.3">
      <c r="A1078" t="s">
        <v>3683</v>
      </c>
      <c r="B1078" t="s">
        <v>4263</v>
      </c>
      <c r="C1078" t="s">
        <v>4264</v>
      </c>
      <c r="D1078" t="s">
        <v>3686</v>
      </c>
      <c r="E1078" t="s">
        <v>3687</v>
      </c>
      <c r="F1078" t="s">
        <v>4265</v>
      </c>
      <c r="G1078" t="s">
        <v>4266</v>
      </c>
      <c r="H1078">
        <v>0</v>
      </c>
      <c r="I1078">
        <v>250</v>
      </c>
      <c r="J1078">
        <v>0</v>
      </c>
      <c r="K1078">
        <v>0</v>
      </c>
      <c r="L1078">
        <v>0</v>
      </c>
      <c r="M1078">
        <v>250</v>
      </c>
      <c r="N1078">
        <v>0</v>
      </c>
      <c r="O1078">
        <v>0</v>
      </c>
    </row>
    <row r="1079" spans="1:15" x14ac:dyDescent="0.3">
      <c r="A1079" t="s">
        <v>3683</v>
      </c>
      <c r="B1079" t="s">
        <v>4267</v>
      </c>
      <c r="C1079" t="s">
        <v>4268</v>
      </c>
      <c r="D1079" t="s">
        <v>3686</v>
      </c>
      <c r="E1079" t="s">
        <v>3687</v>
      </c>
      <c r="F1079" t="s">
        <v>4269</v>
      </c>
      <c r="G1079" t="s">
        <v>4270</v>
      </c>
      <c r="H1079">
        <v>0</v>
      </c>
      <c r="I1079">
        <v>250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 x14ac:dyDescent="0.3">
      <c r="A1080" t="s">
        <v>3683</v>
      </c>
      <c r="B1080" t="s">
        <v>4271</v>
      </c>
      <c r="C1080" t="s">
        <v>4272</v>
      </c>
      <c r="D1080" t="s">
        <v>3686</v>
      </c>
      <c r="E1080" t="s">
        <v>3687</v>
      </c>
      <c r="F1080" t="s">
        <v>4273</v>
      </c>
      <c r="G1080" t="s">
        <v>4274</v>
      </c>
      <c r="H1080">
        <v>525</v>
      </c>
      <c r="I1080">
        <v>563</v>
      </c>
      <c r="J1080">
        <v>745</v>
      </c>
      <c r="K1080">
        <v>0</v>
      </c>
      <c r="L1080">
        <v>0</v>
      </c>
      <c r="M1080">
        <v>360</v>
      </c>
      <c r="N1080">
        <v>110</v>
      </c>
      <c r="O1080">
        <v>0</v>
      </c>
    </row>
    <row r="1081" spans="1:15" x14ac:dyDescent="0.3">
      <c r="A1081" t="s">
        <v>3683</v>
      </c>
      <c r="B1081" t="s">
        <v>4275</v>
      </c>
      <c r="C1081" t="s">
        <v>4276</v>
      </c>
      <c r="D1081" t="s">
        <v>3686</v>
      </c>
      <c r="E1081" t="s">
        <v>3687</v>
      </c>
      <c r="F1081" t="s">
        <v>4277</v>
      </c>
      <c r="G1081" t="s">
        <v>4278</v>
      </c>
      <c r="H1081">
        <v>0</v>
      </c>
      <c r="I1081">
        <v>250</v>
      </c>
      <c r="J1081">
        <v>0</v>
      </c>
      <c r="K1081">
        <v>0</v>
      </c>
      <c r="L1081">
        <v>0</v>
      </c>
      <c r="M1081">
        <v>250</v>
      </c>
      <c r="N1081">
        <v>0</v>
      </c>
      <c r="O1081">
        <v>0</v>
      </c>
    </row>
    <row r="1082" spans="1:15" x14ac:dyDescent="0.3">
      <c r="A1082" t="s">
        <v>3683</v>
      </c>
      <c r="B1082" t="s">
        <v>4279</v>
      </c>
      <c r="C1082" t="s">
        <v>4280</v>
      </c>
      <c r="D1082" t="s">
        <v>3686</v>
      </c>
      <c r="E1082" t="s">
        <v>3687</v>
      </c>
      <c r="F1082" t="s">
        <v>4281</v>
      </c>
      <c r="G1082" t="s">
        <v>4282</v>
      </c>
      <c r="H1082">
        <v>0</v>
      </c>
      <c r="I1082">
        <v>250</v>
      </c>
      <c r="J1082">
        <v>0</v>
      </c>
      <c r="K1082">
        <v>0</v>
      </c>
      <c r="L1082">
        <v>0</v>
      </c>
      <c r="M1082">
        <v>250</v>
      </c>
      <c r="N1082">
        <v>0</v>
      </c>
      <c r="O1082">
        <v>0</v>
      </c>
    </row>
    <row r="1083" spans="1:15" x14ac:dyDescent="0.3">
      <c r="A1083" t="s">
        <v>3683</v>
      </c>
      <c r="B1083" t="s">
        <v>4283</v>
      </c>
      <c r="C1083" t="s">
        <v>4284</v>
      </c>
      <c r="D1083" t="s">
        <v>3686</v>
      </c>
      <c r="E1083" t="s">
        <v>3687</v>
      </c>
      <c r="F1083" t="s">
        <v>4285</v>
      </c>
      <c r="G1083" t="s">
        <v>4286</v>
      </c>
      <c r="H1083">
        <v>573</v>
      </c>
      <c r="I1083">
        <v>5902</v>
      </c>
      <c r="J1083">
        <v>51686</v>
      </c>
      <c r="K1083">
        <v>2094</v>
      </c>
      <c r="L1083">
        <v>10500</v>
      </c>
      <c r="M1083">
        <v>27</v>
      </c>
      <c r="N1083">
        <v>0</v>
      </c>
      <c r="O1083">
        <v>0</v>
      </c>
    </row>
    <row r="1084" spans="1:15" x14ac:dyDescent="0.3">
      <c r="A1084" t="s">
        <v>3683</v>
      </c>
      <c r="B1084" t="s">
        <v>4287</v>
      </c>
      <c r="C1084" t="s">
        <v>4288</v>
      </c>
      <c r="D1084" t="s">
        <v>3686</v>
      </c>
      <c r="E1084" t="s">
        <v>3687</v>
      </c>
      <c r="F1084" t="s">
        <v>4289</v>
      </c>
      <c r="G1084" t="s">
        <v>4290</v>
      </c>
      <c r="H1084">
        <v>51083</v>
      </c>
      <c r="I1084">
        <v>1308</v>
      </c>
      <c r="J1084">
        <v>85229</v>
      </c>
      <c r="K1084">
        <v>195</v>
      </c>
      <c r="L1084">
        <v>1100</v>
      </c>
      <c r="M1084">
        <v>131</v>
      </c>
      <c r="N1084">
        <v>115</v>
      </c>
      <c r="O1084">
        <v>0</v>
      </c>
    </row>
    <row r="1085" spans="1:15" x14ac:dyDescent="0.3">
      <c r="A1085" t="s">
        <v>3683</v>
      </c>
      <c r="B1085" t="s">
        <v>4291</v>
      </c>
      <c r="C1085" t="s">
        <v>4292</v>
      </c>
      <c r="D1085" t="s">
        <v>3686</v>
      </c>
      <c r="E1085" t="s">
        <v>3687</v>
      </c>
      <c r="F1085" t="s">
        <v>4293</v>
      </c>
      <c r="G1085" t="s">
        <v>4294</v>
      </c>
      <c r="H1085">
        <v>3498</v>
      </c>
      <c r="I1085">
        <v>2185</v>
      </c>
      <c r="J1085">
        <v>2246</v>
      </c>
      <c r="K1085">
        <v>0</v>
      </c>
      <c r="L1085">
        <v>600</v>
      </c>
      <c r="M1085">
        <v>2185</v>
      </c>
      <c r="N1085">
        <v>0</v>
      </c>
      <c r="O1085">
        <v>0</v>
      </c>
    </row>
    <row r="1086" spans="1:15" x14ac:dyDescent="0.3">
      <c r="A1086" t="s">
        <v>3683</v>
      </c>
      <c r="B1086" t="s">
        <v>4295</v>
      </c>
      <c r="C1086" t="s">
        <v>4296</v>
      </c>
      <c r="D1086" t="s">
        <v>3686</v>
      </c>
      <c r="E1086" t="s">
        <v>3687</v>
      </c>
      <c r="F1086" t="s">
        <v>4297</v>
      </c>
      <c r="G1086" t="s">
        <v>4298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3">
      <c r="A1087" t="s">
        <v>3683</v>
      </c>
      <c r="B1087" t="s">
        <v>4299</v>
      </c>
      <c r="C1087" t="s">
        <v>4300</v>
      </c>
      <c r="D1087" t="s">
        <v>3686</v>
      </c>
      <c r="E1087" t="s">
        <v>3687</v>
      </c>
      <c r="F1087" t="s">
        <v>4301</v>
      </c>
      <c r="G1087" t="s">
        <v>4302</v>
      </c>
      <c r="H1087">
        <v>0</v>
      </c>
      <c r="I1087">
        <v>250</v>
      </c>
      <c r="J1087">
        <v>228</v>
      </c>
      <c r="K1087">
        <v>0</v>
      </c>
      <c r="L1087">
        <v>0</v>
      </c>
      <c r="M1087">
        <v>250</v>
      </c>
      <c r="N1087">
        <v>0</v>
      </c>
      <c r="O1087">
        <v>0</v>
      </c>
    </row>
    <row r="1088" spans="1:15" x14ac:dyDescent="0.3">
      <c r="A1088" t="s">
        <v>3683</v>
      </c>
      <c r="B1088" t="s">
        <v>4303</v>
      </c>
      <c r="C1088" t="s">
        <v>4304</v>
      </c>
      <c r="D1088" t="s">
        <v>3686</v>
      </c>
      <c r="E1088" t="s">
        <v>3687</v>
      </c>
      <c r="F1088" t="s">
        <v>4305</v>
      </c>
      <c r="G1088">
        <f>256756450124 / 256701735808</f>
        <v>1.0002131435372954</v>
      </c>
      <c r="H1088">
        <v>0</v>
      </c>
      <c r="I1088">
        <v>3533</v>
      </c>
      <c r="J1088">
        <v>723</v>
      </c>
      <c r="K1088">
        <v>740</v>
      </c>
      <c r="L1088">
        <v>0</v>
      </c>
      <c r="M1088">
        <v>3533</v>
      </c>
      <c r="N1088">
        <v>3088</v>
      </c>
      <c r="O1088">
        <v>0</v>
      </c>
    </row>
    <row r="1089" spans="1:15" x14ac:dyDescent="0.3">
      <c r="A1089" t="s">
        <v>3683</v>
      </c>
      <c r="B1089" t="s">
        <v>4306</v>
      </c>
      <c r="C1089" t="s">
        <v>4307</v>
      </c>
      <c r="D1089" t="s">
        <v>3686</v>
      </c>
      <c r="E1089" t="s">
        <v>3687</v>
      </c>
      <c r="F1089" t="s">
        <v>4308</v>
      </c>
      <c r="G1089" t="s">
        <v>4309</v>
      </c>
      <c r="H1089">
        <v>0</v>
      </c>
      <c r="I1089">
        <v>250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 x14ac:dyDescent="0.3">
      <c r="A1090" t="s">
        <v>3683</v>
      </c>
      <c r="B1090" t="s">
        <v>4310</v>
      </c>
      <c r="C1090" t="s">
        <v>4311</v>
      </c>
      <c r="D1090" t="s">
        <v>3686</v>
      </c>
      <c r="E1090" t="s">
        <v>3687</v>
      </c>
      <c r="F1090" t="s">
        <v>4312</v>
      </c>
      <c r="G1090" t="s">
        <v>4313</v>
      </c>
      <c r="H1090">
        <v>0</v>
      </c>
      <c r="I1090">
        <v>250</v>
      </c>
      <c r="J1090">
        <v>0</v>
      </c>
      <c r="K1090">
        <v>0</v>
      </c>
      <c r="L1090">
        <v>0</v>
      </c>
      <c r="M1090">
        <v>250</v>
      </c>
      <c r="N1090">
        <v>0</v>
      </c>
      <c r="O1090">
        <v>0</v>
      </c>
    </row>
    <row r="1091" spans="1:15" x14ac:dyDescent="0.3">
      <c r="A1091" t="s">
        <v>3683</v>
      </c>
      <c r="B1091" t="s">
        <v>4314</v>
      </c>
      <c r="C1091" t="s">
        <v>4315</v>
      </c>
      <c r="D1091" t="s">
        <v>3686</v>
      </c>
      <c r="E1091" t="s">
        <v>3687</v>
      </c>
      <c r="F1091" t="s">
        <v>4316</v>
      </c>
      <c r="G1091" t="s">
        <v>4317</v>
      </c>
      <c r="H1091">
        <v>0</v>
      </c>
      <c r="I1091">
        <v>250</v>
      </c>
      <c r="J1091">
        <v>0</v>
      </c>
      <c r="K1091">
        <v>0</v>
      </c>
      <c r="L1091">
        <v>0</v>
      </c>
      <c r="M1091">
        <v>250</v>
      </c>
      <c r="N1091">
        <v>0</v>
      </c>
      <c r="O1091">
        <v>0</v>
      </c>
    </row>
    <row r="1092" spans="1:15" x14ac:dyDescent="0.3">
      <c r="A1092" t="s">
        <v>3683</v>
      </c>
      <c r="B1092" t="s">
        <v>4318</v>
      </c>
      <c r="C1092" t="s">
        <v>4319</v>
      </c>
      <c r="D1092" t="s">
        <v>3686</v>
      </c>
      <c r="E1092" t="s">
        <v>3687</v>
      </c>
      <c r="F1092" t="s">
        <v>4320</v>
      </c>
      <c r="G1092" t="s">
        <v>4321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 spans="1:15" x14ac:dyDescent="0.3">
      <c r="A1093" t="s">
        <v>3683</v>
      </c>
      <c r="B1093" t="s">
        <v>4322</v>
      </c>
      <c r="C1093" t="s">
        <v>4323</v>
      </c>
      <c r="D1093" t="s">
        <v>3686</v>
      </c>
      <c r="E1093" t="s">
        <v>3687</v>
      </c>
      <c r="F1093" t="s">
        <v>4324</v>
      </c>
      <c r="G1093">
        <f>256780133757 / 700510055</f>
        <v>366.56166735108462</v>
      </c>
      <c r="H1093">
        <v>0</v>
      </c>
      <c r="I1093">
        <v>250</v>
      </c>
      <c r="J1093">
        <v>0</v>
      </c>
      <c r="K1093">
        <v>0</v>
      </c>
      <c r="L1093">
        <v>0</v>
      </c>
      <c r="M1093">
        <v>250</v>
      </c>
      <c r="N1093">
        <v>0</v>
      </c>
      <c r="O1093">
        <v>0</v>
      </c>
    </row>
    <row r="1094" spans="1:15" x14ac:dyDescent="0.3">
      <c r="A1094" t="s">
        <v>3683</v>
      </c>
      <c r="B1094" t="s">
        <v>4325</v>
      </c>
      <c r="C1094" t="s">
        <v>4326</v>
      </c>
      <c r="D1094" t="s">
        <v>3686</v>
      </c>
      <c r="E1094" t="s">
        <v>3687</v>
      </c>
      <c r="F1094" t="s">
        <v>4327</v>
      </c>
      <c r="G1094" t="s">
        <v>4328</v>
      </c>
      <c r="H1094">
        <v>0</v>
      </c>
      <c r="I1094">
        <v>250</v>
      </c>
      <c r="J1094">
        <v>619</v>
      </c>
      <c r="K1094">
        <v>0</v>
      </c>
      <c r="L1094">
        <v>0</v>
      </c>
      <c r="M1094">
        <v>250</v>
      </c>
      <c r="N1094">
        <v>0</v>
      </c>
      <c r="O1094">
        <v>0</v>
      </c>
    </row>
    <row r="1095" spans="1:15" x14ac:dyDescent="0.3">
      <c r="A1095" t="s">
        <v>3683</v>
      </c>
      <c r="B1095" t="s">
        <v>4329</v>
      </c>
      <c r="C1095" t="s">
        <v>4330</v>
      </c>
      <c r="D1095" t="s">
        <v>3686</v>
      </c>
      <c r="E1095" t="s">
        <v>3687</v>
      </c>
      <c r="F1095" t="s">
        <v>4331</v>
      </c>
      <c r="G1095" t="s">
        <v>4332</v>
      </c>
      <c r="H1095">
        <v>0</v>
      </c>
      <c r="I1095">
        <v>250</v>
      </c>
      <c r="J1095">
        <v>0</v>
      </c>
      <c r="K1095">
        <v>0</v>
      </c>
      <c r="L1095">
        <v>0</v>
      </c>
      <c r="M1095">
        <v>250</v>
      </c>
      <c r="N1095">
        <v>0</v>
      </c>
      <c r="O1095">
        <v>0</v>
      </c>
    </row>
    <row r="1096" spans="1:15" x14ac:dyDescent="0.3">
      <c r="A1096" t="s">
        <v>3683</v>
      </c>
      <c r="B1096" t="s">
        <v>4333</v>
      </c>
      <c r="C1096" t="s">
        <v>4334</v>
      </c>
      <c r="D1096" t="s">
        <v>3686</v>
      </c>
      <c r="E1096" t="s">
        <v>3687</v>
      </c>
      <c r="F1096" t="s">
        <v>4335</v>
      </c>
      <c r="G1096" t="s">
        <v>4336</v>
      </c>
      <c r="H1096">
        <v>0</v>
      </c>
      <c r="I1096">
        <v>250</v>
      </c>
      <c r="J1096">
        <v>1970</v>
      </c>
      <c r="K1096">
        <v>0</v>
      </c>
      <c r="L1096">
        <v>0</v>
      </c>
      <c r="M1096">
        <v>250</v>
      </c>
      <c r="N1096">
        <v>0</v>
      </c>
      <c r="O1096">
        <v>0</v>
      </c>
    </row>
    <row r="1097" spans="1:15" x14ac:dyDescent="0.3">
      <c r="A1097" t="s">
        <v>3683</v>
      </c>
      <c r="B1097" t="s">
        <v>4337</v>
      </c>
      <c r="C1097" t="s">
        <v>4338</v>
      </c>
      <c r="D1097" t="s">
        <v>3686</v>
      </c>
      <c r="E1097" t="s">
        <v>3687</v>
      </c>
      <c r="F1097" t="s">
        <v>4339</v>
      </c>
      <c r="G1097" t="s">
        <v>4340</v>
      </c>
      <c r="H1097">
        <v>258</v>
      </c>
      <c r="I1097">
        <v>1542</v>
      </c>
      <c r="J1097">
        <v>11506</v>
      </c>
      <c r="K1097">
        <v>0</v>
      </c>
      <c r="L1097">
        <v>0</v>
      </c>
      <c r="M1097">
        <v>1542</v>
      </c>
      <c r="N1097">
        <v>0</v>
      </c>
      <c r="O1097">
        <v>0</v>
      </c>
    </row>
    <row r="1098" spans="1:15" x14ac:dyDescent="0.3">
      <c r="A1098" t="s">
        <v>3683</v>
      </c>
      <c r="B1098" t="s">
        <v>4341</v>
      </c>
      <c r="C1098" t="s">
        <v>4342</v>
      </c>
      <c r="D1098" t="s">
        <v>3686</v>
      </c>
      <c r="E1098" t="s">
        <v>3687</v>
      </c>
      <c r="F1098" t="s">
        <v>4343</v>
      </c>
      <c r="G1098" t="s">
        <v>4344</v>
      </c>
      <c r="H1098">
        <v>0</v>
      </c>
      <c r="I1098">
        <v>250</v>
      </c>
      <c r="J1098">
        <v>0</v>
      </c>
      <c r="K1098">
        <v>0</v>
      </c>
      <c r="L1098">
        <v>0</v>
      </c>
      <c r="M1098">
        <v>250</v>
      </c>
      <c r="N1098">
        <v>0</v>
      </c>
      <c r="O1098">
        <v>0</v>
      </c>
    </row>
    <row r="1099" spans="1:15" x14ac:dyDescent="0.3">
      <c r="A1099" t="s">
        <v>3683</v>
      </c>
      <c r="B1099" t="s">
        <v>4345</v>
      </c>
      <c r="C1099" t="s">
        <v>4346</v>
      </c>
      <c r="D1099" t="s">
        <v>3686</v>
      </c>
      <c r="E1099" t="s">
        <v>3687</v>
      </c>
      <c r="F1099" t="s">
        <v>4347</v>
      </c>
      <c r="G1099" t="s">
        <v>4348</v>
      </c>
      <c r="H1099">
        <v>0</v>
      </c>
      <c r="I1099">
        <v>250</v>
      </c>
      <c r="J1099">
        <v>500</v>
      </c>
      <c r="K1099">
        <v>0</v>
      </c>
      <c r="L1099">
        <v>0</v>
      </c>
      <c r="M1099">
        <v>250</v>
      </c>
      <c r="N1099">
        <v>0</v>
      </c>
      <c r="O1099">
        <v>0</v>
      </c>
    </row>
    <row r="1100" spans="1:15" x14ac:dyDescent="0.3">
      <c r="A1100" t="s">
        <v>3683</v>
      </c>
      <c r="B1100" t="s">
        <v>4349</v>
      </c>
      <c r="C1100" t="s">
        <v>4350</v>
      </c>
      <c r="D1100" t="s">
        <v>3686</v>
      </c>
      <c r="E1100" t="s">
        <v>3687</v>
      </c>
      <c r="F1100" t="s">
        <v>4351</v>
      </c>
      <c r="G1100" t="s">
        <v>4352</v>
      </c>
      <c r="H1100">
        <v>0</v>
      </c>
      <c r="I1100">
        <v>250</v>
      </c>
      <c r="J1100">
        <v>0</v>
      </c>
      <c r="K1100">
        <v>0</v>
      </c>
      <c r="L1100">
        <v>0</v>
      </c>
      <c r="M1100">
        <v>250</v>
      </c>
      <c r="N1100">
        <v>0</v>
      </c>
      <c r="O1100">
        <v>0</v>
      </c>
    </row>
    <row r="1101" spans="1:15" x14ac:dyDescent="0.3">
      <c r="A1101" t="s">
        <v>3683</v>
      </c>
      <c r="B1101" t="s">
        <v>4353</v>
      </c>
      <c r="C1101" t="s">
        <v>4354</v>
      </c>
      <c r="D1101" t="s">
        <v>3686</v>
      </c>
      <c r="E1101" t="s">
        <v>3687</v>
      </c>
      <c r="F1101" t="s">
        <v>4355</v>
      </c>
      <c r="G1101" t="s">
        <v>4356</v>
      </c>
      <c r="H1101">
        <v>0</v>
      </c>
      <c r="I1101">
        <v>250</v>
      </c>
      <c r="J1101">
        <v>131</v>
      </c>
      <c r="K1101">
        <v>172</v>
      </c>
      <c r="L1101">
        <v>0</v>
      </c>
      <c r="M1101">
        <v>250</v>
      </c>
      <c r="N1101">
        <v>0</v>
      </c>
      <c r="O1101">
        <v>0</v>
      </c>
    </row>
    <row r="1102" spans="1:15" x14ac:dyDescent="0.3">
      <c r="A1102" t="s">
        <v>3683</v>
      </c>
      <c r="B1102" t="s">
        <v>4357</v>
      </c>
      <c r="C1102" t="s">
        <v>4358</v>
      </c>
      <c r="D1102" t="s">
        <v>3686</v>
      </c>
      <c r="E1102" t="s">
        <v>3687</v>
      </c>
      <c r="F1102" t="s">
        <v>4359</v>
      </c>
      <c r="G1102" t="s">
        <v>4360</v>
      </c>
      <c r="H1102">
        <v>0</v>
      </c>
      <c r="I1102">
        <v>250</v>
      </c>
      <c r="J1102">
        <v>0</v>
      </c>
      <c r="K1102">
        <v>0</v>
      </c>
      <c r="L1102">
        <v>0</v>
      </c>
      <c r="M1102">
        <v>250</v>
      </c>
      <c r="N1102">
        <v>0</v>
      </c>
      <c r="O1102">
        <v>0</v>
      </c>
    </row>
    <row r="1103" spans="1:15" x14ac:dyDescent="0.3">
      <c r="A1103" t="s">
        <v>3683</v>
      </c>
      <c r="B1103" t="s">
        <v>4361</v>
      </c>
      <c r="C1103" t="s">
        <v>4362</v>
      </c>
      <c r="D1103" t="s">
        <v>3686</v>
      </c>
      <c r="E1103" t="s">
        <v>3687</v>
      </c>
      <c r="F1103" t="s">
        <v>4363</v>
      </c>
      <c r="G1103">
        <f>256752857773 / 256752857773</f>
        <v>1</v>
      </c>
      <c r="H1103">
        <v>32659</v>
      </c>
      <c r="I1103">
        <v>2122</v>
      </c>
      <c r="J1103">
        <v>123579</v>
      </c>
      <c r="K1103">
        <v>43</v>
      </c>
      <c r="L1103">
        <v>0</v>
      </c>
      <c r="M1103">
        <v>1786</v>
      </c>
      <c r="N1103">
        <v>1536</v>
      </c>
      <c r="O1103">
        <v>0</v>
      </c>
    </row>
    <row r="1104" spans="1:15" x14ac:dyDescent="0.3">
      <c r="A1104" t="s">
        <v>3683</v>
      </c>
      <c r="B1104" t="s">
        <v>4364</v>
      </c>
      <c r="C1104" t="s">
        <v>4365</v>
      </c>
      <c r="D1104" t="s">
        <v>3686</v>
      </c>
      <c r="E1104" t="s">
        <v>3687</v>
      </c>
      <c r="F1104" t="s">
        <v>4366</v>
      </c>
      <c r="G1104" t="s">
        <v>4367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 x14ac:dyDescent="0.3">
      <c r="A1105" t="s">
        <v>3683</v>
      </c>
      <c r="B1105" t="s">
        <v>4368</v>
      </c>
      <c r="C1105" t="s">
        <v>4369</v>
      </c>
      <c r="D1105" t="s">
        <v>3686</v>
      </c>
      <c r="E1105" t="s">
        <v>3687</v>
      </c>
      <c r="F1105" t="s">
        <v>4370</v>
      </c>
      <c r="G1105" t="s">
        <v>4371</v>
      </c>
      <c r="H1105">
        <v>0</v>
      </c>
      <c r="I1105">
        <v>250</v>
      </c>
      <c r="J1105">
        <v>432</v>
      </c>
      <c r="K1105">
        <v>0</v>
      </c>
      <c r="L1105">
        <v>0</v>
      </c>
      <c r="M1105">
        <v>250</v>
      </c>
      <c r="N1105">
        <v>0</v>
      </c>
      <c r="O1105">
        <v>0</v>
      </c>
    </row>
    <row r="1106" spans="1:15" x14ac:dyDescent="0.3">
      <c r="A1106" t="s">
        <v>3683</v>
      </c>
      <c r="B1106" t="s">
        <v>4372</v>
      </c>
      <c r="C1106" t="s">
        <v>4373</v>
      </c>
      <c r="D1106" t="s">
        <v>3686</v>
      </c>
      <c r="E1106" t="s">
        <v>3687</v>
      </c>
      <c r="F1106" t="s">
        <v>4374</v>
      </c>
      <c r="G1106" t="s">
        <v>4375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 x14ac:dyDescent="0.3">
      <c r="A1107" t="s">
        <v>3683</v>
      </c>
      <c r="B1107" t="s">
        <v>4376</v>
      </c>
      <c r="C1107" t="s">
        <v>4377</v>
      </c>
      <c r="D1107" t="s">
        <v>3686</v>
      </c>
      <c r="E1107" t="s">
        <v>3687</v>
      </c>
      <c r="F1107" t="s">
        <v>4378</v>
      </c>
      <c r="G1107" t="s">
        <v>4379</v>
      </c>
      <c r="H1107">
        <v>0</v>
      </c>
      <c r="I1107">
        <v>250</v>
      </c>
      <c r="J1107">
        <v>198</v>
      </c>
      <c r="K1107">
        <v>0</v>
      </c>
      <c r="L1107">
        <v>0</v>
      </c>
      <c r="M1107">
        <v>250</v>
      </c>
      <c r="N1107">
        <v>0</v>
      </c>
      <c r="O1107">
        <v>0</v>
      </c>
    </row>
    <row r="1108" spans="1:15" x14ac:dyDescent="0.3">
      <c r="A1108" t="s">
        <v>3683</v>
      </c>
      <c r="B1108" t="s">
        <v>4380</v>
      </c>
      <c r="C1108" t="s">
        <v>4381</v>
      </c>
      <c r="D1108" t="s">
        <v>3686</v>
      </c>
      <c r="E1108" t="s">
        <v>3687</v>
      </c>
      <c r="F1108" t="s">
        <v>4382</v>
      </c>
      <c r="G1108" t="s">
        <v>4383</v>
      </c>
      <c r="H1108">
        <v>300</v>
      </c>
      <c r="I1108">
        <v>2693</v>
      </c>
      <c r="J1108">
        <v>38421</v>
      </c>
      <c r="K1108">
        <v>1230</v>
      </c>
      <c r="L1108">
        <v>16200</v>
      </c>
      <c r="M1108">
        <v>2693</v>
      </c>
      <c r="N1108">
        <v>0</v>
      </c>
      <c r="O1108">
        <v>0</v>
      </c>
    </row>
    <row r="1109" spans="1:15" x14ac:dyDescent="0.3">
      <c r="A1109" t="s">
        <v>3683</v>
      </c>
      <c r="B1109" t="s">
        <v>4384</v>
      </c>
      <c r="C1109" t="s">
        <v>4385</v>
      </c>
      <c r="D1109" t="s">
        <v>3686</v>
      </c>
      <c r="E1109" t="s">
        <v>3687</v>
      </c>
      <c r="F1109" t="s">
        <v>4386</v>
      </c>
      <c r="G1109" t="s">
        <v>4387</v>
      </c>
      <c r="H1109">
        <v>0</v>
      </c>
      <c r="I1109">
        <v>250</v>
      </c>
      <c r="J1109">
        <v>756</v>
      </c>
      <c r="K1109">
        <v>0</v>
      </c>
      <c r="L1109">
        <v>0</v>
      </c>
      <c r="M1109">
        <v>250</v>
      </c>
      <c r="N1109">
        <v>0</v>
      </c>
      <c r="O1109">
        <v>0</v>
      </c>
    </row>
    <row r="1110" spans="1:15" x14ac:dyDescent="0.3">
      <c r="A1110" t="s">
        <v>3683</v>
      </c>
      <c r="B1110" t="s">
        <v>4388</v>
      </c>
      <c r="C1110" t="s">
        <v>4389</v>
      </c>
      <c r="D1110" t="s">
        <v>3686</v>
      </c>
      <c r="E1110" t="s">
        <v>3687</v>
      </c>
      <c r="F1110" t="s">
        <v>4390</v>
      </c>
      <c r="G1110" t="s">
        <v>4391</v>
      </c>
      <c r="H1110">
        <v>0</v>
      </c>
      <c r="I1110">
        <v>250</v>
      </c>
      <c r="J1110">
        <v>0</v>
      </c>
      <c r="K1110">
        <v>0</v>
      </c>
      <c r="L1110">
        <v>0</v>
      </c>
      <c r="M1110">
        <v>250</v>
      </c>
      <c r="N1110">
        <v>0</v>
      </c>
      <c r="O1110">
        <v>0</v>
      </c>
    </row>
    <row r="1111" spans="1:15" x14ac:dyDescent="0.3">
      <c r="A1111" t="s">
        <v>3683</v>
      </c>
      <c r="B1111" t="s">
        <v>4392</v>
      </c>
      <c r="C1111" t="s">
        <v>4393</v>
      </c>
      <c r="D1111" t="s">
        <v>3686</v>
      </c>
      <c r="E1111" t="s">
        <v>3687</v>
      </c>
      <c r="F1111" t="s">
        <v>4394</v>
      </c>
      <c r="G1111" t="s">
        <v>4395</v>
      </c>
      <c r="H1111">
        <v>0</v>
      </c>
      <c r="I1111">
        <v>250</v>
      </c>
      <c r="J1111">
        <v>1237</v>
      </c>
      <c r="K1111">
        <v>0</v>
      </c>
      <c r="L1111">
        <v>0</v>
      </c>
      <c r="M1111">
        <v>250</v>
      </c>
      <c r="N1111">
        <v>0</v>
      </c>
      <c r="O1111">
        <v>0</v>
      </c>
    </row>
    <row r="1112" spans="1:15" x14ac:dyDescent="0.3">
      <c r="A1112" t="s">
        <v>3683</v>
      </c>
      <c r="B1112" t="s">
        <v>4396</v>
      </c>
      <c r="C1112" t="s">
        <v>4397</v>
      </c>
      <c r="D1112" t="s">
        <v>3686</v>
      </c>
      <c r="E1112" t="s">
        <v>3687</v>
      </c>
      <c r="F1112" t="s">
        <v>4398</v>
      </c>
      <c r="G1112" t="s">
        <v>4399</v>
      </c>
      <c r="H1112">
        <v>0</v>
      </c>
      <c r="I1112">
        <v>250</v>
      </c>
      <c r="J1112">
        <v>0</v>
      </c>
      <c r="K1112">
        <v>0</v>
      </c>
      <c r="L1112">
        <v>0</v>
      </c>
      <c r="M1112">
        <v>250</v>
      </c>
      <c r="N1112">
        <v>0</v>
      </c>
      <c r="O1112">
        <v>0</v>
      </c>
    </row>
    <row r="1113" spans="1:15" x14ac:dyDescent="0.3">
      <c r="A1113" t="s">
        <v>3683</v>
      </c>
      <c r="B1113" t="s">
        <v>4400</v>
      </c>
      <c r="C1113" t="s">
        <v>4401</v>
      </c>
      <c r="D1113" t="s">
        <v>3686</v>
      </c>
      <c r="E1113" t="s">
        <v>3687</v>
      </c>
      <c r="F1113" t="s">
        <v>4402</v>
      </c>
      <c r="G1113" t="s">
        <v>4403</v>
      </c>
      <c r="H1113">
        <v>0</v>
      </c>
      <c r="I1113">
        <v>250</v>
      </c>
      <c r="J1113">
        <v>0</v>
      </c>
      <c r="K1113">
        <v>0</v>
      </c>
      <c r="L1113">
        <v>0</v>
      </c>
      <c r="M1113">
        <v>250</v>
      </c>
      <c r="N1113">
        <v>0</v>
      </c>
      <c r="O1113">
        <v>0</v>
      </c>
    </row>
    <row r="1114" spans="1:15" x14ac:dyDescent="0.3">
      <c r="A1114" t="s">
        <v>3683</v>
      </c>
      <c r="B1114" t="s">
        <v>4404</v>
      </c>
      <c r="C1114" t="s">
        <v>4405</v>
      </c>
      <c r="D1114" t="s">
        <v>3686</v>
      </c>
      <c r="E1114" t="s">
        <v>3687</v>
      </c>
      <c r="F1114" t="s">
        <v>4406</v>
      </c>
      <c r="G1114" t="s">
        <v>4407</v>
      </c>
      <c r="H1114">
        <v>0</v>
      </c>
      <c r="I1114">
        <v>250</v>
      </c>
      <c r="J1114">
        <v>0</v>
      </c>
      <c r="K1114">
        <v>0</v>
      </c>
      <c r="L1114">
        <v>0</v>
      </c>
      <c r="M1114">
        <v>250</v>
      </c>
      <c r="N1114">
        <v>0</v>
      </c>
      <c r="O1114">
        <v>0</v>
      </c>
    </row>
    <row r="1115" spans="1:15" x14ac:dyDescent="0.3">
      <c r="A1115" t="s">
        <v>3683</v>
      </c>
      <c r="B1115" t="s">
        <v>4408</v>
      </c>
      <c r="C1115" t="s">
        <v>4409</v>
      </c>
      <c r="D1115" t="s">
        <v>3686</v>
      </c>
      <c r="E1115" t="s">
        <v>3687</v>
      </c>
      <c r="F1115" t="s">
        <v>4410</v>
      </c>
      <c r="G1115">
        <f>256701319089 / 256701319089</f>
        <v>1</v>
      </c>
      <c r="H1115">
        <v>0</v>
      </c>
      <c r="I1115">
        <v>250</v>
      </c>
      <c r="J1115">
        <v>0</v>
      </c>
      <c r="K1115">
        <v>0</v>
      </c>
      <c r="L1115">
        <v>0</v>
      </c>
      <c r="M1115">
        <v>250</v>
      </c>
      <c r="N1115">
        <v>0</v>
      </c>
      <c r="O1115">
        <v>0</v>
      </c>
    </row>
    <row r="1116" spans="1:15" x14ac:dyDescent="0.3">
      <c r="A1116" t="s">
        <v>3683</v>
      </c>
      <c r="B1116" t="s">
        <v>4411</v>
      </c>
      <c r="C1116" t="s">
        <v>4412</v>
      </c>
      <c r="D1116" t="s">
        <v>3686</v>
      </c>
      <c r="E1116" t="s">
        <v>3687</v>
      </c>
      <c r="F1116" t="s">
        <v>4413</v>
      </c>
      <c r="G1116" t="s">
        <v>4414</v>
      </c>
      <c r="H1116">
        <v>0</v>
      </c>
      <c r="I1116">
        <v>250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 x14ac:dyDescent="0.3">
      <c r="A1117" t="s">
        <v>3683</v>
      </c>
      <c r="B1117" t="s">
        <v>4415</v>
      </c>
      <c r="C1117" t="s">
        <v>4416</v>
      </c>
      <c r="D1117" t="s">
        <v>3686</v>
      </c>
      <c r="E1117" t="s">
        <v>3687</v>
      </c>
      <c r="F1117" t="s">
        <v>4417</v>
      </c>
      <c r="G1117" t="s">
        <v>4418</v>
      </c>
      <c r="H1117">
        <v>0</v>
      </c>
      <c r="I1117">
        <v>250</v>
      </c>
      <c r="J1117">
        <v>315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 x14ac:dyDescent="0.3">
      <c r="A1118" t="s">
        <v>3683</v>
      </c>
      <c r="B1118" t="s">
        <v>4419</v>
      </c>
      <c r="C1118" t="s">
        <v>4420</v>
      </c>
      <c r="D1118" t="s">
        <v>3686</v>
      </c>
      <c r="E1118" t="s">
        <v>3687</v>
      </c>
      <c r="F1118" t="s">
        <v>4421</v>
      </c>
      <c r="G1118" t="s">
        <v>4422</v>
      </c>
      <c r="H1118">
        <v>0</v>
      </c>
      <c r="I1118">
        <v>250</v>
      </c>
      <c r="J1118">
        <v>0</v>
      </c>
      <c r="K1118">
        <v>0</v>
      </c>
      <c r="L1118">
        <v>0</v>
      </c>
      <c r="M1118">
        <v>250</v>
      </c>
      <c r="N1118">
        <v>0</v>
      </c>
      <c r="O1118">
        <v>0</v>
      </c>
    </row>
    <row r="1119" spans="1:15" x14ac:dyDescent="0.3">
      <c r="A1119" t="s">
        <v>3683</v>
      </c>
      <c r="B1119" t="s">
        <v>4423</v>
      </c>
      <c r="C1119" t="s">
        <v>4424</v>
      </c>
      <c r="D1119" t="s">
        <v>3686</v>
      </c>
      <c r="E1119" t="s">
        <v>3687</v>
      </c>
      <c r="F1119" t="s">
        <v>4425</v>
      </c>
      <c r="G1119" t="s">
        <v>4426</v>
      </c>
      <c r="H1119">
        <v>0</v>
      </c>
      <c r="I1119">
        <v>549</v>
      </c>
      <c r="J1119">
        <v>3577</v>
      </c>
      <c r="K1119">
        <v>100</v>
      </c>
      <c r="L1119">
        <v>0</v>
      </c>
      <c r="M1119">
        <v>250</v>
      </c>
      <c r="N1119">
        <v>0</v>
      </c>
      <c r="O1119">
        <v>0</v>
      </c>
    </row>
    <row r="1120" spans="1:15" x14ac:dyDescent="0.3">
      <c r="A1120" t="s">
        <v>3683</v>
      </c>
      <c r="B1120" t="s">
        <v>4427</v>
      </c>
      <c r="C1120" t="s">
        <v>4428</v>
      </c>
      <c r="D1120" t="s">
        <v>3686</v>
      </c>
      <c r="E1120" t="s">
        <v>3687</v>
      </c>
      <c r="F1120" t="s">
        <v>4429</v>
      </c>
      <c r="G1120" t="s">
        <v>4430</v>
      </c>
      <c r="H1120">
        <v>0</v>
      </c>
      <c r="I1120">
        <v>250</v>
      </c>
      <c r="J1120">
        <v>0</v>
      </c>
      <c r="K1120">
        <v>0</v>
      </c>
      <c r="L1120">
        <v>0</v>
      </c>
      <c r="M1120">
        <v>250</v>
      </c>
      <c r="N1120">
        <v>0</v>
      </c>
      <c r="O1120">
        <v>0</v>
      </c>
    </row>
    <row r="1121" spans="1:15" x14ac:dyDescent="0.3">
      <c r="A1121" t="s">
        <v>3683</v>
      </c>
      <c r="B1121" t="s">
        <v>4431</v>
      </c>
      <c r="C1121" t="s">
        <v>4432</v>
      </c>
      <c r="D1121" t="s">
        <v>3686</v>
      </c>
      <c r="E1121" t="s">
        <v>3687</v>
      </c>
      <c r="F1121" t="s">
        <v>4433</v>
      </c>
      <c r="G1121" t="s">
        <v>4434</v>
      </c>
      <c r="H1121">
        <v>0</v>
      </c>
      <c r="I1121">
        <v>250</v>
      </c>
      <c r="J1121">
        <v>0</v>
      </c>
      <c r="K1121">
        <v>0</v>
      </c>
      <c r="L1121">
        <v>0</v>
      </c>
      <c r="M1121">
        <v>250</v>
      </c>
      <c r="N1121">
        <v>0</v>
      </c>
      <c r="O1121">
        <v>0</v>
      </c>
    </row>
    <row r="1122" spans="1:15" x14ac:dyDescent="0.3">
      <c r="A1122" t="s">
        <v>3683</v>
      </c>
      <c r="B1122" t="s">
        <v>4435</v>
      </c>
      <c r="C1122" t="s">
        <v>4436</v>
      </c>
      <c r="D1122" t="s">
        <v>3686</v>
      </c>
      <c r="E1122" t="s">
        <v>3687</v>
      </c>
      <c r="F1122" t="s">
        <v>4437</v>
      </c>
      <c r="G1122" t="s">
        <v>4438</v>
      </c>
      <c r="H1122">
        <v>0</v>
      </c>
      <c r="I1122">
        <v>250</v>
      </c>
      <c r="J1122">
        <v>0</v>
      </c>
      <c r="K1122">
        <v>0</v>
      </c>
      <c r="L1122">
        <v>0</v>
      </c>
      <c r="M1122">
        <v>250</v>
      </c>
      <c r="N1122">
        <v>0</v>
      </c>
      <c r="O1122">
        <v>0</v>
      </c>
    </row>
    <row r="1123" spans="1:15" x14ac:dyDescent="0.3">
      <c r="A1123" t="s">
        <v>3683</v>
      </c>
      <c r="B1123" t="s">
        <v>4439</v>
      </c>
      <c r="C1123" t="s">
        <v>4440</v>
      </c>
      <c r="D1123" t="s">
        <v>3686</v>
      </c>
      <c r="E1123" t="s">
        <v>3687</v>
      </c>
      <c r="F1123" t="s">
        <v>4441</v>
      </c>
      <c r="G1123" t="s">
        <v>4442</v>
      </c>
      <c r="H1123">
        <v>0</v>
      </c>
      <c r="I1123">
        <v>393</v>
      </c>
      <c r="J1123">
        <v>0</v>
      </c>
      <c r="K1123">
        <v>0</v>
      </c>
      <c r="L1123">
        <v>0</v>
      </c>
      <c r="M1123">
        <v>250</v>
      </c>
      <c r="N1123">
        <v>0</v>
      </c>
      <c r="O1123">
        <v>0</v>
      </c>
    </row>
    <row r="1124" spans="1:15" x14ac:dyDescent="0.3">
      <c r="A1124" t="s">
        <v>3683</v>
      </c>
      <c r="B1124" t="s">
        <v>4443</v>
      </c>
      <c r="C1124" t="s">
        <v>4444</v>
      </c>
      <c r="D1124" t="s">
        <v>3686</v>
      </c>
      <c r="E1124" t="s">
        <v>3687</v>
      </c>
      <c r="F1124" t="s">
        <v>4445</v>
      </c>
      <c r="G1124" t="s">
        <v>4446</v>
      </c>
      <c r="H1124">
        <v>0</v>
      </c>
      <c r="I1124">
        <v>250</v>
      </c>
      <c r="J1124">
        <v>0</v>
      </c>
      <c r="K1124">
        <v>0</v>
      </c>
      <c r="L1124">
        <v>0</v>
      </c>
      <c r="M1124">
        <v>250</v>
      </c>
      <c r="N1124">
        <v>0</v>
      </c>
      <c r="O1124">
        <v>0</v>
      </c>
    </row>
    <row r="1125" spans="1:15" x14ac:dyDescent="0.3">
      <c r="A1125" t="s">
        <v>3683</v>
      </c>
      <c r="B1125" t="s">
        <v>4447</v>
      </c>
      <c r="C1125" t="s">
        <v>4448</v>
      </c>
      <c r="D1125" t="s">
        <v>3686</v>
      </c>
      <c r="E1125" t="s">
        <v>3687</v>
      </c>
      <c r="F1125" t="s">
        <v>4449</v>
      </c>
      <c r="G1125" t="s">
        <v>4450</v>
      </c>
      <c r="H1125">
        <v>0</v>
      </c>
      <c r="I1125">
        <v>250</v>
      </c>
      <c r="J1125">
        <v>0</v>
      </c>
      <c r="K1125">
        <v>0</v>
      </c>
      <c r="L1125">
        <v>0</v>
      </c>
      <c r="M1125">
        <v>250</v>
      </c>
      <c r="N1125">
        <v>0</v>
      </c>
      <c r="O1125">
        <v>0</v>
      </c>
    </row>
    <row r="1126" spans="1:15" x14ac:dyDescent="0.3">
      <c r="A1126" t="s">
        <v>3683</v>
      </c>
      <c r="B1126" t="s">
        <v>4451</v>
      </c>
      <c r="C1126" t="s">
        <v>4452</v>
      </c>
      <c r="D1126" t="s">
        <v>3686</v>
      </c>
      <c r="E1126" t="s">
        <v>3687</v>
      </c>
      <c r="F1126" t="s">
        <v>4453</v>
      </c>
      <c r="G1126" t="s">
        <v>4454</v>
      </c>
      <c r="H1126">
        <v>0</v>
      </c>
      <c r="I1126">
        <v>692</v>
      </c>
      <c r="J1126">
        <v>196</v>
      </c>
      <c r="K1126">
        <v>0</v>
      </c>
      <c r="L1126">
        <v>0</v>
      </c>
      <c r="M1126">
        <v>692</v>
      </c>
      <c r="N1126">
        <v>0</v>
      </c>
      <c r="O1126">
        <v>0</v>
      </c>
    </row>
    <row r="1127" spans="1:15" x14ac:dyDescent="0.3">
      <c r="A1127" t="s">
        <v>3683</v>
      </c>
      <c r="B1127" t="s">
        <v>4455</v>
      </c>
      <c r="C1127" t="s">
        <v>4456</v>
      </c>
      <c r="D1127" t="s">
        <v>3686</v>
      </c>
      <c r="E1127" t="s">
        <v>3687</v>
      </c>
      <c r="F1127" t="s">
        <v>4457</v>
      </c>
      <c r="G1127" t="s">
        <v>4458</v>
      </c>
      <c r="H1127">
        <v>0</v>
      </c>
      <c r="I1127">
        <v>250</v>
      </c>
      <c r="J1127">
        <v>0</v>
      </c>
      <c r="K1127">
        <v>0</v>
      </c>
      <c r="L1127">
        <v>0</v>
      </c>
      <c r="M1127">
        <v>250</v>
      </c>
      <c r="N1127">
        <v>0</v>
      </c>
      <c r="O1127">
        <v>0</v>
      </c>
    </row>
    <row r="1128" spans="1:15" x14ac:dyDescent="0.3">
      <c r="A1128" t="s">
        <v>3683</v>
      </c>
      <c r="B1128" t="s">
        <v>4459</v>
      </c>
      <c r="C1128" t="s">
        <v>4460</v>
      </c>
      <c r="D1128" t="s">
        <v>3686</v>
      </c>
      <c r="E1128" t="s">
        <v>3687</v>
      </c>
      <c r="F1128" t="s">
        <v>4461</v>
      </c>
      <c r="G1128" t="s">
        <v>4462</v>
      </c>
      <c r="H1128">
        <v>0</v>
      </c>
      <c r="I1128">
        <v>250</v>
      </c>
      <c r="J1128">
        <v>0</v>
      </c>
      <c r="K1128">
        <v>0</v>
      </c>
      <c r="L1128">
        <v>0</v>
      </c>
      <c r="M1128">
        <v>250</v>
      </c>
      <c r="N1128">
        <v>0</v>
      </c>
      <c r="O1128">
        <v>0</v>
      </c>
    </row>
    <row r="1129" spans="1:15" x14ac:dyDescent="0.3">
      <c r="A1129" t="s">
        <v>15</v>
      </c>
      <c r="B1129" t="s">
        <v>4463</v>
      </c>
      <c r="C1129" t="s">
        <v>4464</v>
      </c>
      <c r="D1129" t="s">
        <v>4465</v>
      </c>
      <c r="E1129" t="s">
        <v>4466</v>
      </c>
      <c r="F1129" t="s">
        <v>4467</v>
      </c>
      <c r="G1129" t="s">
        <v>4468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 x14ac:dyDescent="0.3">
      <c r="A1130" t="s">
        <v>15</v>
      </c>
      <c r="B1130" t="s">
        <v>4469</v>
      </c>
      <c r="C1130" t="s">
        <v>4470</v>
      </c>
      <c r="D1130" t="s">
        <v>4465</v>
      </c>
      <c r="E1130" t="s">
        <v>4466</v>
      </c>
      <c r="F1130" t="s">
        <v>4471</v>
      </c>
      <c r="G1130" t="s">
        <v>4472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 x14ac:dyDescent="0.3">
      <c r="A1131" t="s">
        <v>15</v>
      </c>
      <c r="B1131" t="s">
        <v>4473</v>
      </c>
      <c r="C1131" t="s">
        <v>4474</v>
      </c>
      <c r="D1131" t="s">
        <v>4465</v>
      </c>
      <c r="E1131" t="s">
        <v>4466</v>
      </c>
      <c r="F1131" t="s">
        <v>4475</v>
      </c>
      <c r="G1131">
        <f>260973836533 / 965666402</f>
        <v>270.2525799722294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 x14ac:dyDescent="0.3">
      <c r="A1132" t="s">
        <v>4476</v>
      </c>
      <c r="B1132" t="s">
        <v>4477</v>
      </c>
      <c r="C1132" t="s">
        <v>4478</v>
      </c>
      <c r="D1132" t="s">
        <v>4465</v>
      </c>
      <c r="E1132" t="s">
        <v>4466</v>
      </c>
      <c r="F1132" t="s">
        <v>4479</v>
      </c>
      <c r="G1132" t="s">
        <v>4480</v>
      </c>
      <c r="H1132">
        <v>0</v>
      </c>
      <c r="I1132">
        <v>250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 x14ac:dyDescent="0.3">
      <c r="A1133" t="s">
        <v>4476</v>
      </c>
      <c r="B1133" t="s">
        <v>4481</v>
      </c>
      <c r="C1133" t="s">
        <v>4482</v>
      </c>
      <c r="D1133" t="s">
        <v>4465</v>
      </c>
      <c r="E1133" t="s">
        <v>4466</v>
      </c>
      <c r="F1133" t="s">
        <v>4483</v>
      </c>
      <c r="G1133" t="s">
        <v>4484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 x14ac:dyDescent="0.3">
      <c r="A1134" t="s">
        <v>4476</v>
      </c>
      <c r="B1134" t="s">
        <v>4485</v>
      </c>
      <c r="C1134" t="s">
        <v>4486</v>
      </c>
      <c r="D1134" t="s">
        <v>4465</v>
      </c>
      <c r="E1134" t="s">
        <v>4466</v>
      </c>
      <c r="F1134" t="s">
        <v>4487</v>
      </c>
      <c r="G1134" t="s">
        <v>4488</v>
      </c>
      <c r="H1134">
        <v>0</v>
      </c>
      <c r="I1134">
        <v>250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 x14ac:dyDescent="0.3">
      <c r="A1135" t="s">
        <v>4476</v>
      </c>
      <c r="B1135" t="s">
        <v>4489</v>
      </c>
      <c r="C1135" t="s">
        <v>4490</v>
      </c>
      <c r="D1135" t="s">
        <v>4465</v>
      </c>
      <c r="E1135" t="s">
        <v>4466</v>
      </c>
      <c r="F1135" t="s">
        <v>4491</v>
      </c>
      <c r="G1135">
        <f>260211234431 / 260977666451</f>
        <v>0.99706322755344312</v>
      </c>
      <c r="H1135">
        <v>0</v>
      </c>
      <c r="I1135">
        <v>250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1:15" x14ac:dyDescent="0.3">
      <c r="A1136" t="s">
        <v>4476</v>
      </c>
      <c r="B1136" t="s">
        <v>4492</v>
      </c>
      <c r="C1136" t="s">
        <v>4493</v>
      </c>
      <c r="D1136" t="s">
        <v>4465</v>
      </c>
      <c r="E1136" t="s">
        <v>4466</v>
      </c>
      <c r="F1136" t="s">
        <v>4494</v>
      </c>
      <c r="G1136" t="s">
        <v>4495</v>
      </c>
      <c r="H1136">
        <v>8176</v>
      </c>
      <c r="I1136">
        <v>2448</v>
      </c>
      <c r="J1136">
        <v>21225</v>
      </c>
      <c r="K1136">
        <v>0</v>
      </c>
      <c r="L1136">
        <v>0</v>
      </c>
      <c r="M1136">
        <v>1378</v>
      </c>
      <c r="N1136">
        <v>0</v>
      </c>
      <c r="O1136">
        <v>0</v>
      </c>
    </row>
    <row r="1137" spans="1:15" x14ac:dyDescent="0.3">
      <c r="A1137" t="s">
        <v>4476</v>
      </c>
      <c r="B1137" t="s">
        <v>4496</v>
      </c>
      <c r="C1137" t="s">
        <v>4497</v>
      </c>
      <c r="D1137" t="s">
        <v>4465</v>
      </c>
      <c r="E1137" t="s">
        <v>4466</v>
      </c>
      <c r="F1137" t="s">
        <v>4498</v>
      </c>
      <c r="G1137" t="s">
        <v>4499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 x14ac:dyDescent="0.3">
      <c r="A1138" t="s">
        <v>4476</v>
      </c>
      <c r="B1138" t="s">
        <v>4500</v>
      </c>
      <c r="C1138" t="s">
        <v>4501</v>
      </c>
      <c r="D1138" t="s">
        <v>4465</v>
      </c>
      <c r="E1138" t="s">
        <v>4466</v>
      </c>
      <c r="F1138" t="s">
        <v>4502</v>
      </c>
      <c r="G1138" t="s">
        <v>4503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 spans="1:15" x14ac:dyDescent="0.3">
      <c r="A1139" t="s">
        <v>4476</v>
      </c>
      <c r="B1139" t="s">
        <v>4504</v>
      </c>
      <c r="C1139" t="s">
        <v>4505</v>
      </c>
      <c r="D1139" t="s">
        <v>4465</v>
      </c>
      <c r="E1139" t="s">
        <v>4466</v>
      </c>
      <c r="F1139" t="s">
        <v>4506</v>
      </c>
      <c r="G1139" t="s">
        <v>4507</v>
      </c>
      <c r="H1139">
        <v>0</v>
      </c>
      <c r="I1139">
        <v>3328</v>
      </c>
      <c r="J1139">
        <v>0</v>
      </c>
      <c r="K1139">
        <v>0</v>
      </c>
      <c r="L1139">
        <v>0</v>
      </c>
      <c r="M1139">
        <v>250</v>
      </c>
      <c r="N1139">
        <v>0</v>
      </c>
      <c r="O1139">
        <v>0</v>
      </c>
    </row>
    <row r="1140" spans="1:15" x14ac:dyDescent="0.3">
      <c r="A1140" t="s">
        <v>4476</v>
      </c>
      <c r="B1140" t="s">
        <v>4508</v>
      </c>
      <c r="C1140" t="s">
        <v>4509</v>
      </c>
      <c r="D1140" t="s">
        <v>4465</v>
      </c>
      <c r="E1140" t="s">
        <v>4466</v>
      </c>
      <c r="F1140" t="s">
        <v>4510</v>
      </c>
      <c r="G1140" t="s">
        <v>4511</v>
      </c>
      <c r="H1140">
        <v>4593</v>
      </c>
      <c r="I1140">
        <v>471</v>
      </c>
      <c r="J1140">
        <v>260</v>
      </c>
      <c r="K1140">
        <v>0</v>
      </c>
      <c r="L1140">
        <v>0</v>
      </c>
      <c r="M1140">
        <v>250</v>
      </c>
      <c r="N1140">
        <v>0</v>
      </c>
      <c r="O1140">
        <v>0</v>
      </c>
    </row>
    <row r="1141" spans="1:15" x14ac:dyDescent="0.3">
      <c r="A1141" t="s">
        <v>4476</v>
      </c>
      <c r="B1141" t="s">
        <v>4512</v>
      </c>
      <c r="C1141" t="s">
        <v>4513</v>
      </c>
      <c r="D1141" t="s">
        <v>4465</v>
      </c>
      <c r="E1141" t="s">
        <v>4466</v>
      </c>
      <c r="F1141" t="s">
        <v>4514</v>
      </c>
      <c r="G1141" t="s">
        <v>4515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 x14ac:dyDescent="0.3">
      <c r="A1142" t="s">
        <v>4476</v>
      </c>
      <c r="B1142" t="s">
        <v>4516</v>
      </c>
      <c r="C1142" t="s">
        <v>4517</v>
      </c>
      <c r="D1142" t="s">
        <v>4465</v>
      </c>
      <c r="E1142" t="s">
        <v>4466</v>
      </c>
      <c r="F1142" t="s">
        <v>4518</v>
      </c>
      <c r="G1142" t="s">
        <v>4519</v>
      </c>
      <c r="H1142">
        <v>0</v>
      </c>
      <c r="I1142">
        <v>250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 x14ac:dyDescent="0.3">
      <c r="A1143" t="s">
        <v>4476</v>
      </c>
      <c r="B1143" t="s">
        <v>4520</v>
      </c>
      <c r="C1143" t="s">
        <v>4521</v>
      </c>
      <c r="D1143" t="s">
        <v>4465</v>
      </c>
      <c r="E1143" t="s">
        <v>4466</v>
      </c>
      <c r="F1143" t="s">
        <v>4522</v>
      </c>
      <c r="G1143" t="s">
        <v>4523</v>
      </c>
      <c r="H1143">
        <v>133</v>
      </c>
      <c r="I1143">
        <v>11169</v>
      </c>
      <c r="J1143">
        <v>11607</v>
      </c>
      <c r="K1143">
        <v>0</v>
      </c>
      <c r="L1143">
        <v>0</v>
      </c>
      <c r="M1143">
        <v>401</v>
      </c>
      <c r="N1143">
        <v>0</v>
      </c>
      <c r="O1143">
        <v>7250</v>
      </c>
    </row>
    <row r="1144" spans="1:15" x14ac:dyDescent="0.3">
      <c r="A1144" t="s">
        <v>4476</v>
      </c>
      <c r="B1144" t="s">
        <v>4524</v>
      </c>
      <c r="C1144" t="s">
        <v>4525</v>
      </c>
      <c r="D1144" t="s">
        <v>4465</v>
      </c>
      <c r="E1144" t="s">
        <v>4466</v>
      </c>
      <c r="F1144" t="s">
        <v>4526</v>
      </c>
      <c r="G1144" t="s">
        <v>4527</v>
      </c>
      <c r="H1144">
        <v>0</v>
      </c>
      <c r="I1144">
        <v>2760</v>
      </c>
      <c r="J1144">
        <v>732</v>
      </c>
      <c r="K1144">
        <v>0</v>
      </c>
      <c r="L1144">
        <v>0</v>
      </c>
      <c r="M1144">
        <v>250</v>
      </c>
      <c r="N1144">
        <v>0</v>
      </c>
      <c r="O1144">
        <v>0</v>
      </c>
    </row>
    <row r="1145" spans="1:15" x14ac:dyDescent="0.3">
      <c r="A1145" t="s">
        <v>4476</v>
      </c>
      <c r="B1145" t="s">
        <v>4528</v>
      </c>
      <c r="C1145" t="s">
        <v>4529</v>
      </c>
      <c r="D1145" t="s">
        <v>4465</v>
      </c>
      <c r="E1145" t="s">
        <v>4466</v>
      </c>
      <c r="F1145" t="s">
        <v>4530</v>
      </c>
      <c r="G1145" t="s">
        <v>4531</v>
      </c>
      <c r="H1145">
        <v>0</v>
      </c>
      <c r="I1145">
        <v>250</v>
      </c>
      <c r="J1145">
        <v>707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 x14ac:dyDescent="0.3">
      <c r="A1146" t="s">
        <v>4476</v>
      </c>
      <c r="B1146" t="s">
        <v>4532</v>
      </c>
      <c r="C1146" t="s">
        <v>4533</v>
      </c>
      <c r="D1146" t="s">
        <v>4465</v>
      </c>
      <c r="E1146" t="s">
        <v>4466</v>
      </c>
      <c r="F1146" t="s">
        <v>4534</v>
      </c>
      <c r="G1146">
        <f>260973904999 / 260961904999</f>
        <v>1.0000459837231801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 spans="1:15" x14ac:dyDescent="0.3">
      <c r="A1147" t="s">
        <v>4476</v>
      </c>
      <c r="B1147" t="s">
        <v>4535</v>
      </c>
      <c r="C1147" t="s">
        <v>4536</v>
      </c>
      <c r="D1147" t="s">
        <v>4465</v>
      </c>
      <c r="E1147" t="s">
        <v>4466</v>
      </c>
      <c r="F1147" t="s">
        <v>4537</v>
      </c>
      <c r="G1147" t="s">
        <v>4538</v>
      </c>
      <c r="H1147">
        <v>0</v>
      </c>
      <c r="I1147">
        <v>250</v>
      </c>
      <c r="J1147">
        <v>0</v>
      </c>
      <c r="K1147">
        <v>0</v>
      </c>
      <c r="L1147">
        <v>0</v>
      </c>
      <c r="M1147">
        <v>250</v>
      </c>
      <c r="N1147">
        <v>0</v>
      </c>
      <c r="O1147">
        <v>0</v>
      </c>
    </row>
    <row r="1148" spans="1:15" x14ac:dyDescent="0.3">
      <c r="A1148" t="s">
        <v>4476</v>
      </c>
      <c r="B1148" t="s">
        <v>4539</v>
      </c>
      <c r="C1148" t="s">
        <v>4540</v>
      </c>
      <c r="D1148" t="s">
        <v>4465</v>
      </c>
      <c r="E1148" t="s">
        <v>4466</v>
      </c>
      <c r="F1148" t="s">
        <v>4541</v>
      </c>
      <c r="G1148" t="s">
        <v>4542</v>
      </c>
      <c r="H1148">
        <v>0</v>
      </c>
      <c r="I1148">
        <v>250</v>
      </c>
      <c r="J1148">
        <v>0</v>
      </c>
      <c r="K1148">
        <v>0</v>
      </c>
      <c r="L1148">
        <v>0</v>
      </c>
      <c r="M1148">
        <v>250</v>
      </c>
      <c r="N1148">
        <v>0</v>
      </c>
      <c r="O1148">
        <v>0</v>
      </c>
    </row>
    <row r="1149" spans="1:15" x14ac:dyDescent="0.3">
      <c r="A1149" t="s">
        <v>4476</v>
      </c>
      <c r="B1149" t="s">
        <v>4543</v>
      </c>
      <c r="C1149" t="s">
        <v>4544</v>
      </c>
      <c r="D1149" t="s">
        <v>4465</v>
      </c>
      <c r="E1149" t="s">
        <v>4466</v>
      </c>
      <c r="F1149" t="s">
        <v>4545</v>
      </c>
      <c r="G1149">
        <f>260211220395 / 971081757</f>
        <v>267.96015733925481</v>
      </c>
      <c r="H1149">
        <v>0</v>
      </c>
      <c r="I1149">
        <v>250</v>
      </c>
      <c r="J1149">
        <v>2994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 x14ac:dyDescent="0.3">
      <c r="A1150" t="s">
        <v>4476</v>
      </c>
      <c r="B1150" t="s">
        <v>4546</v>
      </c>
      <c r="C1150" t="s">
        <v>4547</v>
      </c>
      <c r="D1150" t="s">
        <v>4465</v>
      </c>
      <c r="E1150" t="s">
        <v>4466</v>
      </c>
      <c r="F1150" t="s">
        <v>4548</v>
      </c>
      <c r="G1150" t="s">
        <v>4549</v>
      </c>
      <c r="H1150">
        <v>0</v>
      </c>
      <c r="I1150">
        <v>250</v>
      </c>
      <c r="J1150">
        <v>0</v>
      </c>
      <c r="K1150">
        <v>0</v>
      </c>
      <c r="L1150">
        <v>0</v>
      </c>
      <c r="M1150">
        <v>250</v>
      </c>
      <c r="N1150">
        <v>0</v>
      </c>
      <c r="O1150">
        <v>0</v>
      </c>
    </row>
    <row r="1151" spans="1:15" x14ac:dyDescent="0.3">
      <c r="A1151" t="s">
        <v>4476</v>
      </c>
      <c r="B1151" t="s">
        <v>4550</v>
      </c>
      <c r="C1151" t="s">
        <v>4551</v>
      </c>
      <c r="D1151" t="s">
        <v>4465</v>
      </c>
      <c r="E1151" t="s">
        <v>4466</v>
      </c>
      <c r="F1151" t="s">
        <v>4552</v>
      </c>
      <c r="G1151">
        <f>260966688200 / 260761816064</f>
        <v>1.0007856676989462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 x14ac:dyDescent="0.3">
      <c r="A1152" t="s">
        <v>4476</v>
      </c>
      <c r="B1152" t="s">
        <v>4553</v>
      </c>
      <c r="C1152" t="s">
        <v>4554</v>
      </c>
      <c r="D1152" t="s">
        <v>4465</v>
      </c>
      <c r="E1152" t="s">
        <v>4466</v>
      </c>
      <c r="F1152" t="s">
        <v>4555</v>
      </c>
      <c r="G1152" t="s">
        <v>4556</v>
      </c>
      <c r="H1152">
        <v>0</v>
      </c>
      <c r="I1152">
        <v>657</v>
      </c>
      <c r="J1152">
        <v>0</v>
      </c>
      <c r="K1152">
        <v>0</v>
      </c>
      <c r="L1152">
        <v>0</v>
      </c>
      <c r="M1152">
        <v>657</v>
      </c>
      <c r="N1152">
        <v>0</v>
      </c>
      <c r="O1152">
        <v>0</v>
      </c>
    </row>
    <row r="1153" spans="1:15" x14ac:dyDescent="0.3">
      <c r="A1153" t="s">
        <v>4476</v>
      </c>
      <c r="B1153" t="s">
        <v>4557</v>
      </c>
      <c r="C1153" t="s">
        <v>4558</v>
      </c>
      <c r="D1153" t="s">
        <v>4465</v>
      </c>
      <c r="E1153" t="s">
        <v>4466</v>
      </c>
      <c r="F1153" t="s">
        <v>4559</v>
      </c>
      <c r="G1153" t="s">
        <v>4560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 spans="1:15" x14ac:dyDescent="0.3">
      <c r="A1154" t="s">
        <v>4476</v>
      </c>
      <c r="B1154" t="s">
        <v>4561</v>
      </c>
      <c r="C1154" t="s">
        <v>4562</v>
      </c>
      <c r="D1154" t="s">
        <v>4465</v>
      </c>
      <c r="E1154" t="s">
        <v>4466</v>
      </c>
      <c r="F1154" t="s">
        <v>4563</v>
      </c>
      <c r="G1154" t="s">
        <v>4564</v>
      </c>
      <c r="H1154">
        <v>0</v>
      </c>
      <c r="I1154">
        <v>250</v>
      </c>
      <c r="J1154">
        <v>0</v>
      </c>
      <c r="K1154">
        <v>0</v>
      </c>
      <c r="L1154">
        <v>0</v>
      </c>
      <c r="M1154">
        <v>250</v>
      </c>
      <c r="N1154">
        <v>0</v>
      </c>
      <c r="O1154">
        <v>0</v>
      </c>
    </row>
    <row r="1155" spans="1:15" x14ac:dyDescent="0.3">
      <c r="A1155" t="s">
        <v>4476</v>
      </c>
      <c r="B1155" t="s">
        <v>4565</v>
      </c>
      <c r="C1155" t="s">
        <v>4566</v>
      </c>
      <c r="D1155" t="s">
        <v>4465</v>
      </c>
      <c r="E1155" t="s">
        <v>4466</v>
      </c>
      <c r="F1155" t="s">
        <v>4567</v>
      </c>
      <c r="G1155" t="s">
        <v>4568</v>
      </c>
      <c r="H1155">
        <v>0</v>
      </c>
      <c r="I1155">
        <v>250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 x14ac:dyDescent="0.3">
      <c r="A1156" t="s">
        <v>4476</v>
      </c>
      <c r="B1156" t="s">
        <v>4569</v>
      </c>
      <c r="C1156" t="s">
        <v>4570</v>
      </c>
      <c r="D1156" t="s">
        <v>4465</v>
      </c>
      <c r="E1156" t="s">
        <v>4466</v>
      </c>
      <c r="F1156" t="s">
        <v>4571</v>
      </c>
      <c r="G1156" t="s">
        <v>4572</v>
      </c>
      <c r="H1156">
        <v>3453</v>
      </c>
      <c r="I1156">
        <v>2962</v>
      </c>
      <c r="J1156">
        <v>8984</v>
      </c>
      <c r="K1156">
        <v>0</v>
      </c>
      <c r="L1156">
        <v>0</v>
      </c>
      <c r="M1156">
        <v>250</v>
      </c>
      <c r="N1156">
        <v>0</v>
      </c>
      <c r="O1156">
        <v>0</v>
      </c>
    </row>
    <row r="1157" spans="1:15" x14ac:dyDescent="0.3">
      <c r="A1157" t="s">
        <v>4476</v>
      </c>
      <c r="B1157" t="s">
        <v>4573</v>
      </c>
      <c r="C1157" t="s">
        <v>4574</v>
      </c>
      <c r="D1157" t="s">
        <v>4465</v>
      </c>
      <c r="E1157" t="s">
        <v>4466</v>
      </c>
      <c r="F1157" t="s">
        <v>4575</v>
      </c>
      <c r="G1157" t="s">
        <v>4576</v>
      </c>
      <c r="H1157">
        <v>0</v>
      </c>
      <c r="I1157">
        <v>661</v>
      </c>
      <c r="J1157">
        <v>29925</v>
      </c>
      <c r="K1157">
        <v>0</v>
      </c>
      <c r="L1157">
        <v>0</v>
      </c>
      <c r="M1157">
        <v>250</v>
      </c>
      <c r="N1157">
        <v>0</v>
      </c>
      <c r="O1157">
        <v>0</v>
      </c>
    </row>
    <row r="1158" spans="1:15" x14ac:dyDescent="0.3">
      <c r="A1158" t="s">
        <v>4476</v>
      </c>
      <c r="B1158" t="s">
        <v>4577</v>
      </c>
      <c r="C1158" t="s">
        <v>4578</v>
      </c>
      <c r="D1158" t="s">
        <v>4465</v>
      </c>
      <c r="E1158" t="s">
        <v>4466</v>
      </c>
      <c r="F1158" t="s">
        <v>4579</v>
      </c>
      <c r="G1158" t="s">
        <v>4580</v>
      </c>
      <c r="H1158">
        <v>10499</v>
      </c>
      <c r="I1158">
        <v>17056</v>
      </c>
      <c r="J1158">
        <v>7880</v>
      </c>
      <c r="K1158">
        <v>0</v>
      </c>
      <c r="L1158">
        <v>0</v>
      </c>
      <c r="M1158">
        <v>2845</v>
      </c>
      <c r="N1158">
        <v>0</v>
      </c>
      <c r="O1158">
        <v>0</v>
      </c>
    </row>
    <row r="1159" spans="1:15" x14ac:dyDescent="0.3">
      <c r="A1159" t="s">
        <v>4476</v>
      </c>
      <c r="B1159" t="s">
        <v>4581</v>
      </c>
      <c r="C1159" t="s">
        <v>4582</v>
      </c>
      <c r="D1159" t="s">
        <v>4465</v>
      </c>
      <c r="E1159" t="s">
        <v>4466</v>
      </c>
      <c r="F1159" t="s">
        <v>4583</v>
      </c>
      <c r="G1159" t="s">
        <v>4584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 x14ac:dyDescent="0.3">
      <c r="A1160" t="s">
        <v>4476</v>
      </c>
      <c r="B1160" t="s">
        <v>4585</v>
      </c>
      <c r="C1160" t="s">
        <v>4586</v>
      </c>
      <c r="D1160" t="s">
        <v>4465</v>
      </c>
      <c r="E1160" t="s">
        <v>4466</v>
      </c>
      <c r="F1160" t="s">
        <v>4587</v>
      </c>
      <c r="G1160" t="s">
        <v>4588</v>
      </c>
      <c r="H1160">
        <v>0</v>
      </c>
      <c r="I1160">
        <v>250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 x14ac:dyDescent="0.3">
      <c r="A1161" t="s">
        <v>4476</v>
      </c>
      <c r="B1161" t="s">
        <v>4589</v>
      </c>
      <c r="C1161" t="s">
        <v>4590</v>
      </c>
      <c r="D1161" t="s">
        <v>4465</v>
      </c>
      <c r="E1161" t="s">
        <v>4466</v>
      </c>
      <c r="F1161" t="s">
        <v>4591</v>
      </c>
      <c r="G1161" t="s">
        <v>4592</v>
      </c>
      <c r="H1161">
        <v>0</v>
      </c>
      <c r="I1161">
        <v>250</v>
      </c>
      <c r="J1161">
        <v>234</v>
      </c>
      <c r="K1161">
        <v>0</v>
      </c>
      <c r="L1161">
        <v>0</v>
      </c>
      <c r="M1161">
        <v>250</v>
      </c>
      <c r="N1161">
        <v>0</v>
      </c>
      <c r="O1161">
        <v>0</v>
      </c>
    </row>
    <row r="1162" spans="1:15" x14ac:dyDescent="0.3">
      <c r="A1162" t="s">
        <v>4476</v>
      </c>
      <c r="B1162" t="s">
        <v>4593</v>
      </c>
      <c r="C1162" t="s">
        <v>4594</v>
      </c>
      <c r="D1162" t="s">
        <v>4465</v>
      </c>
      <c r="E1162" t="s">
        <v>4466</v>
      </c>
      <c r="F1162" t="s">
        <v>4595</v>
      </c>
      <c r="G1162" t="s">
        <v>4596</v>
      </c>
      <c r="H1162">
        <v>1732</v>
      </c>
      <c r="I1162">
        <v>539</v>
      </c>
      <c r="J1162">
        <v>13307</v>
      </c>
      <c r="K1162">
        <v>0</v>
      </c>
      <c r="L1162">
        <v>0</v>
      </c>
      <c r="M1162">
        <v>250</v>
      </c>
      <c r="N1162">
        <v>0</v>
      </c>
      <c r="O1162">
        <v>0</v>
      </c>
    </row>
    <row r="1163" spans="1:15" x14ac:dyDescent="0.3">
      <c r="A1163" t="s">
        <v>4476</v>
      </c>
      <c r="B1163" t="s">
        <v>4597</v>
      </c>
      <c r="C1163" t="s">
        <v>4598</v>
      </c>
      <c r="D1163" t="s">
        <v>4465</v>
      </c>
      <c r="E1163" t="s">
        <v>4466</v>
      </c>
      <c r="F1163" t="s">
        <v>4599</v>
      </c>
      <c r="G1163" t="s">
        <v>4600</v>
      </c>
      <c r="H1163">
        <v>0</v>
      </c>
      <c r="I1163">
        <v>250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2020-12-11T13:29:38Z</dcterms:created>
  <dcterms:modified xsi:type="dcterms:W3CDTF">2020-12-11T13:31:57Z</dcterms:modified>
</cp:coreProperties>
</file>